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g/Downloads/Political Sci &amp; Poltics/"/>
    </mc:Choice>
  </mc:AlternateContent>
  <xr:revisionPtr revIDLastSave="0" documentId="13_ncr:1_{5B890D06-3C65-7446-AB73-5965031835D9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Consumer" sheetId="1" r:id="rId1"/>
    <sheet name="Institutio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1" l="1"/>
  <c r="L23" i="2"/>
</calcChain>
</file>

<file path=xl/sharedStrings.xml><?xml version="1.0" encoding="utf-8"?>
<sst xmlns="http://schemas.openxmlformats.org/spreadsheetml/2006/main" count="184" uniqueCount="78">
  <si>
    <t>THE FIRESIDE MODEL</t>
  </si>
  <si>
    <t>CONSUMER DIRECT INDICATORS (Pocketbook Variables)</t>
  </si>
  <si>
    <t>Midterm
Year</t>
  </si>
  <si>
    <t>President
(Party)</t>
  </si>
  <si>
    <t>Data Window</t>
  </si>
  <si>
    <t>CPI-Food
% Change</t>
  </si>
  <si>
    <t>CPI-Energy
% Change</t>
  </si>
  <si>
    <t>CPI-Utilities
(Energy Svcs)
% Change</t>
  </si>
  <si>
    <t>PPI
(All Commodities)
% Change</t>
  </si>
  <si>
    <t>Retail Sales
% Change</t>
  </si>
  <si>
    <t>Consumer
Sentiment
(Michigan)
Pt Change</t>
  </si>
  <si>
    <t>Real Disposable
Personal Income
% Change</t>
  </si>
  <si>
    <t>Model
Predicted</t>
  </si>
  <si>
    <t>Actual
Gained / Lost</t>
  </si>
  <si>
    <t>Truman (D)</t>
  </si>
  <si>
    <t>Feb 1949 - Oct 1950</t>
  </si>
  <si>
    <t>—</t>
  </si>
  <si>
    <t>Eisenhower (R)</t>
  </si>
  <si>
    <t>Feb 1953 - Oct 1954</t>
  </si>
  <si>
    <t>Feb 1957 - Oct 1958</t>
  </si>
  <si>
    <t>Kennedy (D)</t>
  </si>
  <si>
    <t>Feb 1961 - Oct 1962</t>
  </si>
  <si>
    <t>Johnson (D)</t>
  </si>
  <si>
    <t>Feb 1965 - Oct 1966</t>
  </si>
  <si>
    <t>Nixon (R)</t>
  </si>
  <si>
    <t>Feb 1969 - Oct 1970</t>
  </si>
  <si>
    <t>Ford (R)</t>
  </si>
  <si>
    <t>Feb 1973 - Oct 1974</t>
  </si>
  <si>
    <t>Carter (D)</t>
  </si>
  <si>
    <t>Feb 1977 - Oct 1978</t>
  </si>
  <si>
    <t>Reagan (R)</t>
  </si>
  <si>
    <t>Feb 1981 - Oct 1982</t>
  </si>
  <si>
    <t>Feb 1985 - Oct 1986</t>
  </si>
  <si>
    <t>Bush Sr. (R)</t>
  </si>
  <si>
    <t>Feb 1989 - Oct 1990</t>
  </si>
  <si>
    <t>Clinton (D)</t>
  </si>
  <si>
    <t>Feb 1993 - Oct 1994</t>
  </si>
  <si>
    <t>Feb 1997 - Oct 1998</t>
  </si>
  <si>
    <t>Bush Jr. (R)</t>
  </si>
  <si>
    <t>Feb 2001 - Oct 2002</t>
  </si>
  <si>
    <t>Feb 2005 - Oct 2006</t>
  </si>
  <si>
    <t>Obama (D)</t>
  </si>
  <si>
    <t>Feb 2009 - Oct 2010</t>
  </si>
  <si>
    <t>Feb 2013 - Oct 2014</t>
  </si>
  <si>
    <t>Trump (R)</t>
  </si>
  <si>
    <t>Feb 2017 - Oct 2018</t>
  </si>
  <si>
    <t>Biden (D)</t>
  </si>
  <si>
    <t>Feb 2021 - Oct 2022</t>
  </si>
  <si>
    <t>Feb 2025 - Oct 2026</t>
  </si>
  <si>
    <t>PENDING</t>
  </si>
  <si>
    <t>?</t>
  </si>
  <si>
    <t>Legends</t>
  </si>
  <si>
    <t>Leading:  Signals future economic direction before it happens</t>
  </si>
  <si>
    <t>Lagging:  Confirms a trend after it has already occurred</t>
  </si>
  <si>
    <t>Coincident:  Moves in real-time with the current economy</t>
  </si>
  <si>
    <t>Red or Green numbers in Actual column represent Lose or gain by the party in power</t>
  </si>
  <si>
    <t>Calculation Technique</t>
  </si>
  <si>
    <t>CPI-Food, CPI-Energy, CPI-Utilities, PPI, Retail Sales, Real Income:  % Change from Feb inauguration year to Oct midterm year</t>
  </si>
  <si>
    <t>Consumer Sentiment:  Point change in Michigan index from Feb inauguration year to Oct midterm year</t>
  </si>
  <si>
    <t>Data Window:  Feb of inauguration year through Oct of the midterm election year (approximately 21 months)</t>
  </si>
  <si>
    <t>Cell Notation</t>
  </si>
  <si>
    <t>Dash:  Indicator did not exist for this time period</t>
  </si>
  <si>
    <t>PENDING:  2026 data window still in progress (Feb 2025 through Oct 2026)</t>
  </si>
  <si>
    <t>The Fireside Equation</t>
  </si>
  <si>
    <t>House Seat Change = -13.83 + (2.28 x CPI-Food%) + (-1.68 x CPI-Energy%) + (-1.29 x Consumer Sentiment) + (-5.43 x GDP%) + (-0.04 x Initial Jobless Claims chg in 000s)</t>
  </si>
  <si>
    <t>R-squared = 0.8336  |  Mean Absolute Error = 6.5 seats  |  Based on 12 midterm elections (1978-2022)</t>
  </si>
  <si>
    <t>Variables drawn from Consumer sheet (CPI-Food, CPI-Energy, Consumer Sentiment) and Institutional sheet (GDP Growth, Initial Jobless Claims)</t>
  </si>
  <si>
    <t>INSTITUTIONAL &amp; LABOR INDICATORS</t>
  </si>
  <si>
    <t>GDP Growth
Rate %
(avg annualized)</t>
  </si>
  <si>
    <t>Unemployment
Rate Change
(pts)</t>
  </si>
  <si>
    <t>Nonfarm Payrolls
Cuml Chg (000s)</t>
  </si>
  <si>
    <t>Initial Jobless
Claims Change</t>
  </si>
  <si>
    <t>Midterm
Opposition
Bias</t>
  </si>
  <si>
    <t>Structural:  Built-in constant reflecting historical midterm patterns</t>
  </si>
  <si>
    <t>GDP Growth:  Average annualized quarterly growth rate across the full data window</t>
  </si>
  <si>
    <t>Unemployment Rate Change:  Rate at Oct midterm year minus Rate at Feb inauguration year (in percentage points)</t>
  </si>
  <si>
    <t>Nonfarm Payrolls:  Cumulative jobs added or lost (thousands) from Feb inauguration to Oct midterm year</t>
  </si>
  <si>
    <t>Initial Jobless Claims:  Change in weekly value from Feb inauguration to Oct midterm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</si>
</sst>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24"/>
      <name val="Bookman Old Style"/>
      <family val="1"/>
    </font>
    <font>
      <b/>
      <sz val="14"/>
      <color rgb="FF5D4037"/>
      <name val="Bookman Old Style"/>
      <family val="1"/>
    </font>
    <font>
      <b/>
      <sz val="12"/>
      <color rgb="FFFFFFFF"/>
      <name val="Bookman Old Style"/>
      <family val="1"/>
    </font>
    <font>
      <b/>
      <sz val="12"/>
      <name val="Bookman Old Style"/>
      <family val="1"/>
    </font>
    <font>
      <sz val="12"/>
      <name val="Bookman Old Style"/>
      <family val="1"/>
    </font>
    <font>
      <sz val="12"/>
      <color rgb="FF999999"/>
      <name val="Bookman Old Style"/>
      <family val="1"/>
    </font>
    <font>
      <b/>
      <sz val="12"/>
      <color rgb="FF8B0000"/>
      <name val="Bookman Old Style"/>
      <family val="1"/>
    </font>
    <font>
      <b/>
      <sz val="12"/>
      <color rgb="FF1F4E79"/>
      <name val="Bookman Old Style"/>
      <family val="1"/>
    </font>
    <font>
      <b/>
      <sz val="12"/>
      <color rgb="FF2E7D32"/>
      <name val="Bookman Old Style"/>
      <family val="1"/>
    </font>
    <font>
      <i/>
      <sz val="12"/>
      <color rgb="FF999999"/>
      <name val="Bookman Old Style"/>
      <family val="1"/>
    </font>
    <font>
      <b/>
      <i/>
      <sz val="12"/>
      <color rgb="FF999999"/>
      <name val="Bookman Old Style"/>
      <family val="1"/>
    </font>
    <font>
      <sz val="12"/>
      <color rgb="FF333333"/>
      <name val="Bookman Old Style"/>
      <family val="1"/>
    </font>
    <font>
      <b/>
      <sz val="12"/>
      <color rgb="FFE65100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8F9FA"/>
      </patternFill>
    </fill>
    <fill>
      <patternFill patternType="solid">
        <fgColor rgb="FFE651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9" borderId="0" xfId="0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/>
    </xf>
    <xf numFmtId="0" fontId="5" fillId="0" borderId="1" xfId="0" applyFont="1" applyBorder="1"/>
    <xf numFmtId="2" fontId="5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5" fillId="7" borderId="1" xfId="0" applyFont="1" applyFill="1" applyBorder="1"/>
    <xf numFmtId="2" fontId="5" fillId="7" borderId="1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3" fontId="5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0" xfId="0" applyFont="1"/>
    <xf numFmtId="0" fontId="0" fillId="0" borderId="0" xfId="0"/>
    <xf numFmtId="0" fontId="13" fillId="0" borderId="0" xfId="0" applyFont="1"/>
    <xf numFmtId="0" fontId="8" fillId="0" borderId="0" xfId="0" applyFont="1"/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topLeftCell="A2" workbookViewId="0">
      <selection activeCell="N23" sqref="N23"/>
    </sheetView>
  </sheetViews>
  <sheetFormatPr baseColWidth="10" defaultColWidth="8.83203125" defaultRowHeight="15" x14ac:dyDescent="0.2"/>
  <cols>
    <col min="1" max="3" width="3" customWidth="1"/>
    <col min="4" max="4" width="12" customWidth="1"/>
    <col min="5" max="5" width="18" customWidth="1"/>
    <col min="6" max="6" width="22" customWidth="1"/>
    <col min="7" max="13" width="15" customWidth="1"/>
    <col min="14" max="15" width="14" customWidth="1"/>
  </cols>
  <sheetData>
    <row r="1" spans="1:19" ht="31" x14ac:dyDescent="0.35">
      <c r="A1" s="1"/>
      <c r="B1" s="1"/>
      <c r="C1" s="1"/>
      <c r="D1" s="2" t="s">
        <v>0</v>
      </c>
      <c r="P1" s="1"/>
      <c r="Q1" s="1"/>
      <c r="R1" s="1"/>
      <c r="S1" s="1"/>
    </row>
    <row r="2" spans="1:19" ht="18" x14ac:dyDescent="0.2">
      <c r="A2" s="1"/>
      <c r="B2" s="1"/>
      <c r="C2" s="1"/>
      <c r="D2" s="3" t="s">
        <v>1</v>
      </c>
      <c r="P2" s="1"/>
      <c r="Q2" s="1"/>
      <c r="R2" s="1"/>
      <c r="S2" s="1"/>
    </row>
    <row r="3" spans="1:19" ht="55" customHeight="1" x14ac:dyDescent="0.2">
      <c r="A3" s="1"/>
      <c r="B3" s="1"/>
      <c r="C3" s="1"/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1"/>
      <c r="Q3" s="1"/>
      <c r="R3" s="1"/>
      <c r="S3" s="1"/>
    </row>
    <row r="4" spans="1:19" ht="16" x14ac:dyDescent="0.2">
      <c r="A4" s="1"/>
      <c r="B4" s="1"/>
      <c r="C4" s="1"/>
      <c r="D4" s="5">
        <v>1950</v>
      </c>
      <c r="E4" s="6" t="s">
        <v>14</v>
      </c>
      <c r="F4" s="6" t="s">
        <v>15</v>
      </c>
      <c r="G4" s="7">
        <v>2.77</v>
      </c>
      <c r="H4" s="8" t="s">
        <v>16</v>
      </c>
      <c r="I4" s="7">
        <v>0.52</v>
      </c>
      <c r="J4" s="7">
        <v>6.72</v>
      </c>
      <c r="K4" s="8" t="s">
        <v>16</v>
      </c>
      <c r="L4" s="8" t="s">
        <v>16</v>
      </c>
      <c r="M4" s="8" t="s">
        <v>16</v>
      </c>
      <c r="N4" s="9" t="s">
        <v>16</v>
      </c>
      <c r="O4" s="10">
        <v>-29</v>
      </c>
      <c r="P4" s="1"/>
      <c r="Q4" s="1"/>
      <c r="R4" s="1"/>
      <c r="S4" s="1"/>
    </row>
    <row r="5" spans="1:19" ht="16" x14ac:dyDescent="0.2">
      <c r="A5" s="1"/>
      <c r="B5" s="1"/>
      <c r="C5" s="1"/>
      <c r="D5" s="5">
        <v>1954</v>
      </c>
      <c r="E5" s="11" t="s">
        <v>17</v>
      </c>
      <c r="F5" s="11" t="s">
        <v>18</v>
      </c>
      <c r="G5" s="12">
        <v>-1.41</v>
      </c>
      <c r="H5" s="8" t="s">
        <v>16</v>
      </c>
      <c r="I5" s="12">
        <v>2.5299999999999998</v>
      </c>
      <c r="J5" s="12">
        <v>0</v>
      </c>
      <c r="K5" s="8" t="s">
        <v>16</v>
      </c>
      <c r="L5" s="8" t="s">
        <v>16</v>
      </c>
      <c r="M5" s="8" t="s">
        <v>16</v>
      </c>
      <c r="N5" s="9" t="s">
        <v>16</v>
      </c>
      <c r="O5" s="10">
        <v>-18</v>
      </c>
      <c r="P5" s="1"/>
      <c r="Q5" s="1"/>
      <c r="R5" s="1"/>
      <c r="S5" s="1"/>
    </row>
    <row r="6" spans="1:19" ht="16" x14ac:dyDescent="0.2">
      <c r="A6" s="1"/>
      <c r="B6" s="1"/>
      <c r="C6" s="1"/>
      <c r="D6" s="5">
        <v>1958</v>
      </c>
      <c r="E6" s="6" t="s">
        <v>17</v>
      </c>
      <c r="F6" s="6" t="s">
        <v>19</v>
      </c>
      <c r="G6" s="7">
        <v>4.53</v>
      </c>
      <c r="H6" s="7">
        <v>1.4</v>
      </c>
      <c r="I6" s="7">
        <v>5.24</v>
      </c>
      <c r="J6" s="7">
        <v>1.61</v>
      </c>
      <c r="K6" s="8" t="s">
        <v>16</v>
      </c>
      <c r="L6" s="8" t="s">
        <v>16</v>
      </c>
      <c r="M6" s="8" t="s">
        <v>16</v>
      </c>
      <c r="N6" s="9" t="s">
        <v>16</v>
      </c>
      <c r="O6" s="10">
        <v>-48</v>
      </c>
      <c r="P6" s="1"/>
      <c r="Q6" s="1"/>
      <c r="R6" s="1"/>
      <c r="S6" s="1"/>
    </row>
    <row r="7" spans="1:19" ht="16" x14ac:dyDescent="0.2">
      <c r="A7" s="1"/>
      <c r="B7" s="1"/>
      <c r="C7" s="1"/>
      <c r="D7" s="5">
        <v>1962</v>
      </c>
      <c r="E7" s="11" t="s">
        <v>20</v>
      </c>
      <c r="F7" s="11" t="s">
        <v>21</v>
      </c>
      <c r="G7" s="12">
        <v>0.98</v>
      </c>
      <c r="H7" s="12">
        <v>0.44</v>
      </c>
      <c r="I7" s="12">
        <v>0</v>
      </c>
      <c r="J7" s="12">
        <v>-0.31</v>
      </c>
      <c r="K7" s="8" t="s">
        <v>16</v>
      </c>
      <c r="L7" s="8" t="s">
        <v>16</v>
      </c>
      <c r="M7" s="12">
        <v>8.2200000000000006</v>
      </c>
      <c r="N7" s="9" t="s">
        <v>16</v>
      </c>
      <c r="O7" s="10">
        <v>-4</v>
      </c>
      <c r="P7" s="1"/>
      <c r="Q7" s="1"/>
      <c r="R7" s="1"/>
      <c r="S7" s="1"/>
    </row>
    <row r="8" spans="1:19" ht="16" x14ac:dyDescent="0.2">
      <c r="A8" s="1"/>
      <c r="B8" s="1"/>
      <c r="C8" s="1"/>
      <c r="D8" s="5">
        <v>1966</v>
      </c>
      <c r="E8" s="6" t="s">
        <v>22</v>
      </c>
      <c r="F8" s="6" t="s">
        <v>23</v>
      </c>
      <c r="G8" s="7">
        <v>8.57</v>
      </c>
      <c r="H8" s="7">
        <v>3.08</v>
      </c>
      <c r="I8" s="7">
        <v>0.43</v>
      </c>
      <c r="J8" s="7">
        <v>4.7</v>
      </c>
      <c r="K8" s="8" t="s">
        <v>16</v>
      </c>
      <c r="L8" s="8" t="s">
        <v>16</v>
      </c>
      <c r="M8" s="7">
        <v>9.7100000000000009</v>
      </c>
      <c r="N8" s="9" t="s">
        <v>16</v>
      </c>
      <c r="O8" s="10">
        <v>-47</v>
      </c>
      <c r="P8" s="1"/>
      <c r="Q8" s="1"/>
      <c r="R8" s="1"/>
      <c r="S8" s="1"/>
    </row>
    <row r="9" spans="1:19" ht="16" x14ac:dyDescent="0.2">
      <c r="A9" s="1"/>
      <c r="B9" s="1"/>
      <c r="C9" s="1"/>
      <c r="D9" s="5">
        <v>1970</v>
      </c>
      <c r="E9" s="11" t="s">
        <v>24</v>
      </c>
      <c r="F9" s="11" t="s">
        <v>25</v>
      </c>
      <c r="G9" s="12">
        <v>9.42</v>
      </c>
      <c r="H9" s="12">
        <v>6.15</v>
      </c>
      <c r="I9" s="12">
        <v>7.92</v>
      </c>
      <c r="J9" s="12">
        <v>6</v>
      </c>
      <c r="K9" s="8" t="s">
        <v>16</v>
      </c>
      <c r="L9" s="8" t="s">
        <v>16</v>
      </c>
      <c r="M9" s="12">
        <v>7.65</v>
      </c>
      <c r="N9" s="9" t="s">
        <v>16</v>
      </c>
      <c r="O9" s="10">
        <v>-12</v>
      </c>
      <c r="P9" s="1"/>
      <c r="Q9" s="1"/>
      <c r="R9" s="1"/>
      <c r="S9" s="1"/>
    </row>
    <row r="10" spans="1:19" ht="16" x14ac:dyDescent="0.2">
      <c r="A10" s="1"/>
      <c r="B10" s="1"/>
      <c r="C10" s="1"/>
      <c r="D10" s="5">
        <v>1974</v>
      </c>
      <c r="E10" s="6" t="s">
        <v>26</v>
      </c>
      <c r="F10" s="6" t="s">
        <v>27</v>
      </c>
      <c r="G10" s="7">
        <v>27.35</v>
      </c>
      <c r="H10" s="7">
        <v>39.01</v>
      </c>
      <c r="I10" s="7">
        <v>23.21</v>
      </c>
      <c r="J10" s="7">
        <v>34.200000000000003</v>
      </c>
      <c r="K10" s="8" t="s">
        <v>16</v>
      </c>
      <c r="L10" s="8" t="s">
        <v>16</v>
      </c>
      <c r="M10" s="7">
        <v>-0.05</v>
      </c>
      <c r="N10" s="9" t="s">
        <v>16</v>
      </c>
      <c r="O10" s="10">
        <v>-48</v>
      </c>
      <c r="P10" s="1"/>
      <c r="Q10" s="1"/>
      <c r="R10" s="1"/>
      <c r="S10" s="1"/>
    </row>
    <row r="11" spans="1:19" ht="16" x14ac:dyDescent="0.2">
      <c r="A11" s="1"/>
      <c r="B11" s="1"/>
      <c r="C11" s="1"/>
      <c r="D11" s="5">
        <v>1978</v>
      </c>
      <c r="E11" s="11" t="s">
        <v>28</v>
      </c>
      <c r="F11" s="11" t="s">
        <v>29</v>
      </c>
      <c r="G11" s="12">
        <v>16.12</v>
      </c>
      <c r="H11" s="12">
        <v>12.47</v>
      </c>
      <c r="I11" s="12">
        <v>13.79</v>
      </c>
      <c r="J11" s="12">
        <v>13.07</v>
      </c>
      <c r="K11" s="8" t="s">
        <v>16</v>
      </c>
      <c r="L11" s="12">
        <v>-7.8</v>
      </c>
      <c r="M11" s="12">
        <v>8.34</v>
      </c>
      <c r="N11" s="13">
        <v>-15.8</v>
      </c>
      <c r="O11" s="10">
        <v>-15</v>
      </c>
      <c r="P11" s="1"/>
      <c r="Q11" s="1"/>
      <c r="R11" s="1"/>
      <c r="S11" s="1"/>
    </row>
    <row r="12" spans="1:19" ht="16" x14ac:dyDescent="0.2">
      <c r="A12" s="1"/>
      <c r="B12" s="1"/>
      <c r="C12" s="1"/>
      <c r="D12" s="5">
        <v>1982</v>
      </c>
      <c r="E12" s="6" t="s">
        <v>30</v>
      </c>
      <c r="F12" s="6" t="s">
        <v>31</v>
      </c>
      <c r="G12" s="7">
        <v>6.62</v>
      </c>
      <c r="H12" s="7">
        <v>6.83</v>
      </c>
      <c r="I12" s="7">
        <v>24.52</v>
      </c>
      <c r="J12" s="7">
        <v>4.2699999999999996</v>
      </c>
      <c r="K12" s="8" t="s">
        <v>16</v>
      </c>
      <c r="L12" s="7">
        <v>6.5</v>
      </c>
      <c r="M12" s="7">
        <v>3.85</v>
      </c>
      <c r="N12" s="13">
        <v>-31.5</v>
      </c>
      <c r="O12" s="10">
        <v>-26</v>
      </c>
      <c r="P12" s="1"/>
      <c r="Q12" s="1"/>
      <c r="R12" s="1"/>
      <c r="S12" s="1"/>
    </row>
    <row r="13" spans="1:19" ht="16" x14ac:dyDescent="0.2">
      <c r="A13" s="1"/>
      <c r="B13" s="1"/>
      <c r="C13" s="1"/>
      <c r="D13" s="5">
        <v>1986</v>
      </c>
      <c r="E13" s="11" t="s">
        <v>30</v>
      </c>
      <c r="F13" s="11" t="s">
        <v>32</v>
      </c>
      <c r="G13" s="12">
        <v>5.04</v>
      </c>
      <c r="H13" s="12">
        <v>-17.45</v>
      </c>
      <c r="I13" s="12">
        <v>-2.82</v>
      </c>
      <c r="J13" s="12">
        <v>-3.48</v>
      </c>
      <c r="K13" s="8" t="s">
        <v>16</v>
      </c>
      <c r="L13" s="12">
        <v>1.9</v>
      </c>
      <c r="M13" s="12">
        <v>6.26</v>
      </c>
      <c r="N13" s="14">
        <v>3.4</v>
      </c>
      <c r="O13" s="10">
        <v>-5</v>
      </c>
      <c r="P13" s="1"/>
      <c r="Q13" s="1"/>
      <c r="R13" s="1"/>
      <c r="S13" s="1"/>
    </row>
    <row r="14" spans="1:19" ht="16" x14ac:dyDescent="0.2">
      <c r="A14" s="1"/>
      <c r="B14" s="1"/>
      <c r="C14" s="1"/>
      <c r="D14" s="5">
        <v>1990</v>
      </c>
      <c r="E14" s="6" t="s">
        <v>33</v>
      </c>
      <c r="F14" s="6" t="s">
        <v>34</v>
      </c>
      <c r="G14" s="7">
        <v>9.4700000000000006</v>
      </c>
      <c r="H14" s="7">
        <v>22.03</v>
      </c>
      <c r="I14" s="7">
        <v>3.01</v>
      </c>
      <c r="J14" s="7">
        <v>9.0299999999999994</v>
      </c>
      <c r="K14" s="8" t="s">
        <v>16</v>
      </c>
      <c r="L14" s="7">
        <v>-31.5</v>
      </c>
      <c r="M14" s="7">
        <v>1.79</v>
      </c>
      <c r="N14" s="13">
        <v>-2.7</v>
      </c>
      <c r="O14" s="10">
        <v>-8</v>
      </c>
      <c r="P14" s="1"/>
      <c r="Q14" s="1"/>
      <c r="R14" s="1"/>
      <c r="S14" s="1"/>
    </row>
    <row r="15" spans="1:19" ht="16" x14ac:dyDescent="0.2">
      <c r="A15" s="1"/>
      <c r="B15" s="1"/>
      <c r="C15" s="1"/>
      <c r="D15" s="5">
        <v>1994</v>
      </c>
      <c r="E15" s="11" t="s">
        <v>35</v>
      </c>
      <c r="F15" s="11" t="s">
        <v>36</v>
      </c>
      <c r="G15" s="12">
        <v>4.08</v>
      </c>
      <c r="H15" s="12">
        <v>1.34</v>
      </c>
      <c r="I15" s="12">
        <v>2.95</v>
      </c>
      <c r="J15" s="12">
        <v>2.11</v>
      </c>
      <c r="K15" s="12">
        <v>14.85</v>
      </c>
      <c r="L15" s="12">
        <v>6.1</v>
      </c>
      <c r="M15" s="12">
        <v>4.42</v>
      </c>
      <c r="N15" s="13">
        <v>-32.299999999999997</v>
      </c>
      <c r="O15" s="10">
        <v>-54</v>
      </c>
      <c r="P15" s="1"/>
      <c r="Q15" s="1"/>
      <c r="R15" s="1"/>
      <c r="S15" s="1"/>
    </row>
    <row r="16" spans="1:19" ht="16" x14ac:dyDescent="0.2">
      <c r="A16" s="1"/>
      <c r="B16" s="1"/>
      <c r="C16" s="1"/>
      <c r="D16" s="5">
        <v>1998</v>
      </c>
      <c r="E16" s="6" t="s">
        <v>35</v>
      </c>
      <c r="F16" s="6" t="s">
        <v>37</v>
      </c>
      <c r="G16" s="7">
        <v>3.51</v>
      </c>
      <c r="H16" s="7">
        <v>-11.74</v>
      </c>
      <c r="I16" s="7">
        <v>-5.52</v>
      </c>
      <c r="J16" s="7">
        <v>-3.5</v>
      </c>
      <c r="K16" s="7">
        <v>7.55</v>
      </c>
      <c r="L16" s="7">
        <v>-2.2999999999999998</v>
      </c>
      <c r="M16" s="7">
        <v>8.84</v>
      </c>
      <c r="N16" s="13">
        <v>-6.9</v>
      </c>
      <c r="O16" s="15">
        <v>5</v>
      </c>
      <c r="P16" s="1"/>
      <c r="Q16" s="1"/>
      <c r="R16" s="1"/>
      <c r="S16" s="1"/>
    </row>
    <row r="17" spans="1:19" ht="16" x14ac:dyDescent="0.2">
      <c r="A17" s="1"/>
      <c r="B17" s="1"/>
      <c r="C17" s="1"/>
      <c r="D17" s="5">
        <v>2002</v>
      </c>
      <c r="E17" s="11" t="s">
        <v>38</v>
      </c>
      <c r="F17" s="11" t="s">
        <v>39</v>
      </c>
      <c r="G17" s="12">
        <v>3.04</v>
      </c>
      <c r="H17" s="12">
        <v>-5.37</v>
      </c>
      <c r="I17" s="12">
        <v>-8.0399999999999991</v>
      </c>
      <c r="J17" s="12">
        <v>-3.06</v>
      </c>
      <c r="K17" s="12">
        <v>3.78</v>
      </c>
      <c r="L17" s="12">
        <v>-10</v>
      </c>
      <c r="M17" s="12">
        <v>4.29</v>
      </c>
      <c r="N17" s="14">
        <v>6.5</v>
      </c>
      <c r="O17" s="15">
        <v>8</v>
      </c>
      <c r="P17" s="1"/>
      <c r="Q17" s="1"/>
      <c r="R17" s="1"/>
      <c r="S17" s="1"/>
    </row>
    <row r="18" spans="1:19" ht="16" x14ac:dyDescent="0.2">
      <c r="A18" s="1"/>
      <c r="B18" s="1"/>
      <c r="C18" s="1"/>
      <c r="D18" s="5">
        <v>2006</v>
      </c>
      <c r="E18" s="6" t="s">
        <v>38</v>
      </c>
      <c r="F18" s="6" t="s">
        <v>40</v>
      </c>
      <c r="G18" s="7">
        <v>4.4000000000000004</v>
      </c>
      <c r="H18" s="7">
        <v>13.78</v>
      </c>
      <c r="I18" s="7">
        <v>14.37</v>
      </c>
      <c r="J18" s="7">
        <v>6.99</v>
      </c>
      <c r="K18" s="7">
        <v>7.91</v>
      </c>
      <c r="L18" s="7">
        <v>-0.5</v>
      </c>
      <c r="M18" s="7">
        <v>5.56</v>
      </c>
      <c r="N18" s="13">
        <v>-41.2</v>
      </c>
      <c r="O18" s="10">
        <v>-30</v>
      </c>
      <c r="P18" s="1"/>
      <c r="Q18" s="1"/>
      <c r="R18" s="1"/>
      <c r="S18" s="1"/>
    </row>
    <row r="19" spans="1:19" ht="16" x14ac:dyDescent="0.2">
      <c r="A19" s="1"/>
      <c r="B19" s="1"/>
      <c r="C19" s="1"/>
      <c r="D19" s="5">
        <v>2010</v>
      </c>
      <c r="E19" s="11" t="s">
        <v>41</v>
      </c>
      <c r="F19" s="11" t="s">
        <v>42</v>
      </c>
      <c r="G19" s="12">
        <v>0.72</v>
      </c>
      <c r="H19" s="12">
        <v>17.96</v>
      </c>
      <c r="I19" s="12">
        <v>-3.93</v>
      </c>
      <c r="J19" s="12">
        <v>10.220000000000001</v>
      </c>
      <c r="K19" s="12">
        <v>8.48</v>
      </c>
      <c r="L19" s="12">
        <v>11.4</v>
      </c>
      <c r="M19" s="12">
        <v>2.86</v>
      </c>
      <c r="N19" s="13">
        <v>-59.3</v>
      </c>
      <c r="O19" s="10">
        <v>-63</v>
      </c>
      <c r="P19" s="1"/>
      <c r="Q19" s="1"/>
      <c r="R19" s="1"/>
      <c r="S19" s="1"/>
    </row>
    <row r="20" spans="1:19" ht="16" x14ac:dyDescent="0.2">
      <c r="A20" s="1"/>
      <c r="B20" s="1"/>
      <c r="C20" s="1"/>
      <c r="D20" s="5">
        <v>2014</v>
      </c>
      <c r="E20" s="6" t="s">
        <v>41</v>
      </c>
      <c r="F20" s="6" t="s">
        <v>43</v>
      </c>
      <c r="G20" s="7">
        <v>3.76</v>
      </c>
      <c r="H20" s="7">
        <v>-7.29</v>
      </c>
      <c r="I20" s="7">
        <v>5.13</v>
      </c>
      <c r="J20" s="7">
        <v>-0.44</v>
      </c>
      <c r="K20" s="7">
        <v>5.57</v>
      </c>
      <c r="L20" s="7">
        <v>9.3000000000000007</v>
      </c>
      <c r="M20" s="7">
        <v>5.75</v>
      </c>
      <c r="N20" s="13">
        <v>-18.7</v>
      </c>
      <c r="O20" s="10">
        <v>-13</v>
      </c>
      <c r="P20" s="1"/>
      <c r="Q20" s="1"/>
      <c r="R20" s="1"/>
      <c r="S20" s="1"/>
    </row>
    <row r="21" spans="1:19" ht="16" x14ac:dyDescent="0.2">
      <c r="A21" s="1"/>
      <c r="B21" s="1"/>
      <c r="C21" s="1"/>
      <c r="D21" s="5">
        <v>2018</v>
      </c>
      <c r="E21" s="11" t="s">
        <v>44</v>
      </c>
      <c r="F21" s="11" t="s">
        <v>45</v>
      </c>
      <c r="G21" s="12">
        <v>2.19</v>
      </c>
      <c r="H21" s="12">
        <v>10.72</v>
      </c>
      <c r="I21" s="12">
        <v>1.19</v>
      </c>
      <c r="J21" s="12">
        <v>6.78</v>
      </c>
      <c r="K21" s="12">
        <v>6.92</v>
      </c>
      <c r="L21" s="12">
        <v>2.2999999999999998</v>
      </c>
      <c r="M21" s="12">
        <v>5.95</v>
      </c>
      <c r="N21" s="13">
        <v>-41.8</v>
      </c>
      <c r="O21" s="10">
        <v>-40</v>
      </c>
      <c r="P21" s="1"/>
      <c r="Q21" s="1"/>
      <c r="R21" s="1"/>
      <c r="S21" s="1"/>
    </row>
    <row r="22" spans="1:19" ht="16" x14ac:dyDescent="0.2">
      <c r="A22" s="1"/>
      <c r="B22" s="1"/>
      <c r="C22" s="1"/>
      <c r="D22" s="5">
        <v>2022</v>
      </c>
      <c r="E22" s="6" t="s">
        <v>46</v>
      </c>
      <c r="F22" s="6" t="s">
        <v>47</v>
      </c>
      <c r="G22" s="7">
        <v>16.07</v>
      </c>
      <c r="H22" s="7">
        <v>36.81</v>
      </c>
      <c r="I22" s="7">
        <v>26.78</v>
      </c>
      <c r="J22" s="7">
        <v>25.86</v>
      </c>
      <c r="K22" s="7">
        <v>22.72</v>
      </c>
      <c r="L22" s="7">
        <v>-16.899999999999999</v>
      </c>
      <c r="M22" s="7">
        <v>-1.32</v>
      </c>
      <c r="N22" s="13">
        <v>-9.9</v>
      </c>
      <c r="O22" s="10">
        <v>-9</v>
      </c>
      <c r="P22" s="1"/>
      <c r="Q22" s="1"/>
      <c r="R22" s="1"/>
      <c r="S22" s="1"/>
    </row>
    <row r="23" spans="1:19" ht="16" x14ac:dyDescent="0.2">
      <c r="A23" s="1"/>
      <c r="B23" s="1"/>
      <c r="C23" s="1"/>
      <c r="D23" s="5">
        <v>2026</v>
      </c>
      <c r="E23" s="11" t="s">
        <v>44</v>
      </c>
      <c r="F23" s="11" t="s">
        <v>48</v>
      </c>
      <c r="G23" s="16">
        <v>20</v>
      </c>
      <c r="H23" s="16">
        <v>45</v>
      </c>
      <c r="I23" s="16">
        <v>9</v>
      </c>
      <c r="J23" s="16">
        <v>10</v>
      </c>
      <c r="K23" s="16">
        <v>2</v>
      </c>
      <c r="L23" s="16">
        <v>-9</v>
      </c>
      <c r="M23" s="16">
        <v>-3.1</v>
      </c>
      <c r="N23" s="13" t="str">
        <f>IF(AND(G23&lt;&gt;"PENDING",H23&lt;&gt;"PENDING",L23&lt;&gt;"PENDING",Institutional!G23&lt;&gt;"PENDING",Institutional!J23&lt;&gt;"PENDING"),ROUND(-13.83+(2.28*G23)+(-1.68*H23)+(-1.29*L23)+(-5.43*Institutional!G23)+(-0.04*(Institutional!J23/1000)),1),"")</f>
        <v/>
      </c>
      <c r="O23" s="17" t="s">
        <v>50</v>
      </c>
      <c r="P23" s="1"/>
      <c r="Q23" s="1"/>
      <c r="R23" s="1"/>
      <c r="S23" s="1"/>
    </row>
    <row r="24" spans="1:19" x14ac:dyDescent="0.2">
      <c r="A24" s="1"/>
      <c r="B24" s="1"/>
      <c r="C24" s="1"/>
      <c r="P24" s="1"/>
      <c r="Q24" s="1"/>
      <c r="R24" s="1"/>
      <c r="S24" s="1"/>
    </row>
    <row r="25" spans="1:19" x14ac:dyDescent="0.2">
      <c r="A25" s="1"/>
      <c r="B25" s="1"/>
      <c r="C25" s="1"/>
      <c r="P25" s="1"/>
      <c r="Q25" s="1"/>
      <c r="R25" s="1"/>
      <c r="S25" s="1"/>
    </row>
    <row r="26" spans="1:19" ht="16" x14ac:dyDescent="0.2">
      <c r="A26" s="1"/>
      <c r="B26" s="1"/>
      <c r="C26" s="1"/>
      <c r="D26" s="29" t="s">
        <v>51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1"/>
      <c r="Q26" s="1"/>
      <c r="R26" s="1"/>
      <c r="S26" s="1"/>
    </row>
    <row r="27" spans="1:19" ht="16" x14ac:dyDescent="0.2">
      <c r="A27" s="1"/>
      <c r="B27" s="1"/>
      <c r="C27" s="1"/>
      <c r="D27" s="25" t="s">
        <v>52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1"/>
      <c r="Q27" s="1"/>
      <c r="R27" s="1"/>
      <c r="S27" s="1"/>
    </row>
    <row r="28" spans="1:19" ht="16" x14ac:dyDescent="0.2">
      <c r="A28" s="1"/>
      <c r="B28" s="1"/>
      <c r="C28" s="1"/>
      <c r="D28" s="25" t="s">
        <v>53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1"/>
      <c r="Q28" s="1"/>
      <c r="R28" s="1"/>
      <c r="S28" s="1"/>
    </row>
    <row r="29" spans="1:19" ht="16" x14ac:dyDescent="0.2">
      <c r="A29" s="1"/>
      <c r="B29" s="1"/>
      <c r="C29" s="1"/>
      <c r="D29" s="25" t="s">
        <v>54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1"/>
      <c r="Q29" s="1"/>
      <c r="R29" s="1"/>
      <c r="S29" s="1"/>
    </row>
    <row r="30" spans="1:19" ht="16" x14ac:dyDescent="0.2">
      <c r="A30" s="1"/>
      <c r="B30" s="1"/>
      <c r="C30" s="1"/>
      <c r="D30" s="25" t="s">
        <v>55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1"/>
      <c r="Q30" s="1"/>
      <c r="R30" s="1"/>
      <c r="S30" s="1"/>
    </row>
    <row r="31" spans="1:19" x14ac:dyDescent="0.2">
      <c r="A31" s="1"/>
      <c r="B31" s="1"/>
      <c r="C31" s="1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1"/>
      <c r="Q31" s="1"/>
      <c r="R31" s="1"/>
      <c r="S31" s="1"/>
    </row>
    <row r="32" spans="1:19" ht="16" x14ac:dyDescent="0.2">
      <c r="A32" s="1"/>
      <c r="B32" s="1"/>
      <c r="C32" s="1"/>
      <c r="D32" s="27" t="s">
        <v>56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1"/>
      <c r="Q32" s="1"/>
      <c r="R32" s="1"/>
      <c r="S32" s="1"/>
    </row>
    <row r="33" spans="1:19" ht="16" x14ac:dyDescent="0.2">
      <c r="A33" s="1"/>
      <c r="B33" s="1"/>
      <c r="C33" s="1"/>
      <c r="D33" s="25" t="s">
        <v>57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1"/>
      <c r="Q33" s="1"/>
      <c r="R33" s="1"/>
      <c r="S33" s="1"/>
    </row>
    <row r="34" spans="1:19" ht="16" x14ac:dyDescent="0.2">
      <c r="A34" s="1"/>
      <c r="B34" s="1"/>
      <c r="C34" s="1"/>
      <c r="D34" s="25" t="s">
        <v>58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1"/>
      <c r="Q34" s="1"/>
      <c r="R34" s="1"/>
      <c r="S34" s="1"/>
    </row>
    <row r="35" spans="1:19" ht="16" x14ac:dyDescent="0.2">
      <c r="A35" s="1"/>
      <c r="B35" s="1"/>
      <c r="C35" s="1"/>
      <c r="D35" s="25" t="s">
        <v>59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1"/>
      <c r="Q35" s="1"/>
      <c r="R35" s="1"/>
      <c r="S35" s="1"/>
    </row>
    <row r="36" spans="1:19" x14ac:dyDescent="0.2">
      <c r="A36" s="1"/>
      <c r="B36" s="1"/>
      <c r="C36" s="1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1"/>
      <c r="Q36" s="1"/>
      <c r="R36" s="1"/>
      <c r="S36" s="1"/>
    </row>
    <row r="37" spans="1:19" ht="16" x14ac:dyDescent="0.2">
      <c r="A37" s="1"/>
      <c r="B37" s="1"/>
      <c r="C37" s="1"/>
      <c r="D37" s="27" t="s">
        <v>60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1"/>
      <c r="Q37" s="1"/>
      <c r="R37" s="1"/>
      <c r="S37" s="1"/>
    </row>
    <row r="38" spans="1:19" ht="16" x14ac:dyDescent="0.2">
      <c r="A38" s="1"/>
      <c r="B38" s="1"/>
      <c r="C38" s="1"/>
      <c r="D38" s="25" t="s">
        <v>61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1"/>
      <c r="Q38" s="1"/>
      <c r="R38" s="1"/>
      <c r="S38" s="1"/>
    </row>
    <row r="39" spans="1:19" ht="16" x14ac:dyDescent="0.2">
      <c r="A39" s="1"/>
      <c r="B39" s="1"/>
      <c r="C39" s="1"/>
      <c r="D39" s="25" t="s">
        <v>62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1"/>
      <c r="Q39" s="1"/>
      <c r="R39" s="1"/>
      <c r="S39" s="1"/>
    </row>
    <row r="40" spans="1:19" x14ac:dyDescent="0.2">
      <c r="A40" s="1"/>
      <c r="B40" s="1"/>
      <c r="C40" s="1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1"/>
      <c r="Q40" s="1"/>
      <c r="R40" s="1"/>
      <c r="S40" s="1"/>
    </row>
    <row r="41" spans="1:19" ht="16" x14ac:dyDescent="0.2">
      <c r="A41" s="1"/>
      <c r="B41" s="1"/>
      <c r="C41" s="1"/>
      <c r="D41" s="27" t="s">
        <v>63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1"/>
      <c r="Q41" s="1"/>
      <c r="R41" s="1"/>
      <c r="S41" s="1"/>
    </row>
    <row r="42" spans="1:19" ht="16" x14ac:dyDescent="0.2">
      <c r="A42" s="1"/>
      <c r="B42" s="1"/>
      <c r="C42" s="1"/>
      <c r="D42" s="28" t="s">
        <v>64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1"/>
      <c r="Q42" s="1"/>
      <c r="R42" s="1"/>
      <c r="S42" s="1"/>
    </row>
    <row r="43" spans="1:19" ht="16" x14ac:dyDescent="0.2">
      <c r="A43" s="1"/>
      <c r="B43" s="1"/>
      <c r="C43" s="1"/>
      <c r="D43" s="25" t="s">
        <v>65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1"/>
      <c r="Q43" s="1"/>
      <c r="R43" s="1"/>
      <c r="S43" s="1"/>
    </row>
    <row r="44" spans="1:19" ht="16" x14ac:dyDescent="0.2">
      <c r="A44" s="1"/>
      <c r="B44" s="1"/>
      <c r="C44" s="1"/>
      <c r="D44" s="25" t="s">
        <v>66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1"/>
      <c r="Q44" s="1"/>
      <c r="R44" s="1"/>
      <c r="S44" s="1"/>
    </row>
    <row r="45" spans="1:19" x14ac:dyDescent="0.2">
      <c r="A45" s="1"/>
      <c r="B45" s="1"/>
      <c r="C45" s="1"/>
      <c r="P45" s="1"/>
      <c r="Q45" s="1"/>
      <c r="R45" s="1"/>
      <c r="S45" s="1"/>
    </row>
    <row r="46" spans="1:19" x14ac:dyDescent="0.2">
      <c r="A46" s="1"/>
      <c r="B46" s="1"/>
      <c r="C46" s="1"/>
      <c r="P46" s="1"/>
      <c r="Q46" s="1"/>
      <c r="R46" s="1"/>
      <c r="S46" s="1"/>
    </row>
    <row r="47" spans="1:19" x14ac:dyDescent="0.2">
      <c r="A47" s="1"/>
      <c r="B47" s="1"/>
      <c r="C47" s="1"/>
      <c r="P47" s="1"/>
      <c r="Q47" s="1"/>
      <c r="R47" s="1"/>
      <c r="S47" s="1"/>
    </row>
    <row r="48" spans="1:19" x14ac:dyDescent="0.2">
      <c r="A48" s="1"/>
      <c r="B48" s="1"/>
      <c r="C48" s="1"/>
      <c r="P48" s="1"/>
      <c r="Q48" s="1"/>
      <c r="R48" s="1"/>
      <c r="S48" s="1"/>
    </row>
    <row r="49" spans="1:19" x14ac:dyDescent="0.2">
      <c r="A49" s="1"/>
      <c r="B49" s="1"/>
      <c r="C49" s="1"/>
      <c r="P49" s="1"/>
      <c r="Q49" s="1"/>
      <c r="R49" s="1"/>
      <c r="S49" s="1"/>
    </row>
  </sheetData>
  <mergeCells count="19">
    <mergeCell ref="D26:O26"/>
    <mergeCell ref="D44:O44"/>
    <mergeCell ref="D35:O35"/>
    <mergeCell ref="D34:O34"/>
    <mergeCell ref="D31:O31"/>
    <mergeCell ref="D40:O40"/>
    <mergeCell ref="D36:O36"/>
    <mergeCell ref="D27:O27"/>
    <mergeCell ref="D41:O41"/>
    <mergeCell ref="D32:O32"/>
    <mergeCell ref="D43:O43"/>
    <mergeCell ref="D28:O28"/>
    <mergeCell ref="D37:O37"/>
    <mergeCell ref="D39:O39"/>
    <mergeCell ref="D30:O30"/>
    <mergeCell ref="D42:O42"/>
    <mergeCell ref="D33:O33"/>
    <mergeCell ref="D29:O29"/>
    <mergeCell ref="D38:O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7"/>
  <sheetViews>
    <sheetView workbookViewId="0"/>
  </sheetViews>
  <sheetFormatPr baseColWidth="10" defaultColWidth="8.83203125" defaultRowHeight="15" x14ac:dyDescent="0.2"/>
  <cols>
    <col min="1" max="3" width="3" customWidth="1"/>
    <col min="4" max="4" width="12" customWidth="1"/>
    <col min="5" max="5" width="18" customWidth="1"/>
    <col min="6" max="6" width="22" customWidth="1"/>
    <col min="7" max="10" width="17" customWidth="1"/>
    <col min="11" max="13" width="14" customWidth="1"/>
  </cols>
  <sheetData>
    <row r="1" spans="1:19" ht="31" x14ac:dyDescent="0.35">
      <c r="A1" s="1"/>
      <c r="B1" s="1"/>
      <c r="C1" s="1"/>
      <c r="D1" s="2" t="s">
        <v>0</v>
      </c>
      <c r="N1" s="1"/>
      <c r="O1" s="1"/>
      <c r="P1" s="1"/>
      <c r="Q1" s="1"/>
      <c r="R1" s="1"/>
      <c r="S1" s="1"/>
    </row>
    <row r="2" spans="1:19" ht="18" x14ac:dyDescent="0.2">
      <c r="A2" s="1"/>
      <c r="B2" s="1"/>
      <c r="C2" s="1"/>
      <c r="D2" s="3" t="s">
        <v>67</v>
      </c>
      <c r="N2" s="1"/>
      <c r="O2" s="1"/>
      <c r="P2" s="1"/>
      <c r="Q2" s="1"/>
      <c r="R2" s="1"/>
      <c r="S2" s="1"/>
    </row>
    <row r="3" spans="1:19" ht="55" customHeight="1" x14ac:dyDescent="0.2">
      <c r="A3" s="1"/>
      <c r="B3" s="1"/>
      <c r="C3" s="1"/>
      <c r="D3" s="4" t="s">
        <v>2</v>
      </c>
      <c r="E3" s="4" t="s">
        <v>3</v>
      </c>
      <c r="F3" s="4" t="s">
        <v>4</v>
      </c>
      <c r="G3" s="4" t="s">
        <v>68</v>
      </c>
      <c r="H3" s="4" t="s">
        <v>69</v>
      </c>
      <c r="I3" s="4" t="s">
        <v>70</v>
      </c>
      <c r="J3" s="4" t="s">
        <v>71</v>
      </c>
      <c r="K3" s="4" t="s">
        <v>72</v>
      </c>
      <c r="L3" s="4" t="s">
        <v>12</v>
      </c>
      <c r="M3" s="4" t="s">
        <v>13</v>
      </c>
      <c r="N3" s="1"/>
      <c r="O3" s="1"/>
      <c r="P3" s="1"/>
      <c r="Q3" s="1"/>
      <c r="R3" s="1"/>
      <c r="S3" s="1"/>
    </row>
    <row r="4" spans="1:19" ht="16" x14ac:dyDescent="0.2">
      <c r="A4" s="1"/>
      <c r="B4" s="1"/>
      <c r="C4" s="1"/>
      <c r="D4" s="5">
        <v>1950</v>
      </c>
      <c r="E4" s="6" t="s">
        <v>14</v>
      </c>
      <c r="F4" s="6" t="s">
        <v>15</v>
      </c>
      <c r="G4" s="7">
        <v>5.97</v>
      </c>
      <c r="H4" s="18">
        <v>-0.5</v>
      </c>
      <c r="I4" s="19">
        <v>2209</v>
      </c>
      <c r="J4" s="8" t="s">
        <v>16</v>
      </c>
      <c r="K4" s="20">
        <v>1</v>
      </c>
      <c r="L4" s="9" t="s">
        <v>16</v>
      </c>
      <c r="M4" s="10">
        <v>-29</v>
      </c>
      <c r="N4" s="1"/>
      <c r="O4" s="1"/>
      <c r="P4" s="1"/>
      <c r="Q4" s="1"/>
      <c r="R4" s="1"/>
      <c r="S4" s="1"/>
    </row>
    <row r="5" spans="1:19" ht="16" x14ac:dyDescent="0.2">
      <c r="A5" s="1"/>
      <c r="B5" s="1"/>
      <c r="C5" s="1"/>
      <c r="D5" s="5">
        <v>1954</v>
      </c>
      <c r="E5" s="11" t="s">
        <v>17</v>
      </c>
      <c r="F5" s="11" t="s">
        <v>18</v>
      </c>
      <c r="G5" s="12">
        <v>1.74</v>
      </c>
      <c r="H5" s="21">
        <v>3.1</v>
      </c>
      <c r="I5" s="22">
        <v>-1397</v>
      </c>
      <c r="J5" s="8" t="s">
        <v>16</v>
      </c>
      <c r="K5" s="23">
        <v>1</v>
      </c>
      <c r="L5" s="9" t="s">
        <v>16</v>
      </c>
      <c r="M5" s="10">
        <v>-18</v>
      </c>
      <c r="N5" s="1"/>
      <c r="O5" s="1"/>
      <c r="P5" s="1"/>
      <c r="Q5" s="1"/>
      <c r="R5" s="1"/>
      <c r="S5" s="1"/>
    </row>
    <row r="6" spans="1:19" ht="16" x14ac:dyDescent="0.2">
      <c r="A6" s="1"/>
      <c r="B6" s="1"/>
      <c r="C6" s="1"/>
      <c r="D6" s="5">
        <v>1958</v>
      </c>
      <c r="E6" s="6" t="s">
        <v>17</v>
      </c>
      <c r="F6" s="6" t="s">
        <v>19</v>
      </c>
      <c r="G6" s="7">
        <v>1.7</v>
      </c>
      <c r="H6" s="18">
        <v>2.8</v>
      </c>
      <c r="I6" s="19">
        <v>-1612</v>
      </c>
      <c r="J6" s="8" t="s">
        <v>16</v>
      </c>
      <c r="K6" s="20">
        <v>1</v>
      </c>
      <c r="L6" s="9" t="s">
        <v>16</v>
      </c>
      <c r="M6" s="10">
        <v>-48</v>
      </c>
      <c r="N6" s="1"/>
      <c r="O6" s="1"/>
      <c r="P6" s="1"/>
      <c r="Q6" s="1"/>
      <c r="R6" s="1"/>
      <c r="S6" s="1"/>
    </row>
    <row r="7" spans="1:19" ht="16" x14ac:dyDescent="0.2">
      <c r="A7" s="1"/>
      <c r="B7" s="1"/>
      <c r="C7" s="1"/>
      <c r="D7" s="5">
        <v>1962</v>
      </c>
      <c r="E7" s="11" t="s">
        <v>20</v>
      </c>
      <c r="F7" s="11" t="s">
        <v>21</v>
      </c>
      <c r="G7" s="12">
        <v>5.38</v>
      </c>
      <c r="H7" s="21">
        <v>-1.5</v>
      </c>
      <c r="I7" s="22">
        <v>2484</v>
      </c>
      <c r="J7" s="8" t="s">
        <v>16</v>
      </c>
      <c r="K7" s="23">
        <v>1</v>
      </c>
      <c r="L7" s="9" t="s">
        <v>16</v>
      </c>
      <c r="M7" s="10">
        <v>-4</v>
      </c>
      <c r="N7" s="1"/>
      <c r="O7" s="1"/>
      <c r="P7" s="1"/>
      <c r="Q7" s="1"/>
      <c r="R7" s="1"/>
      <c r="S7" s="1"/>
    </row>
    <row r="8" spans="1:19" ht="16" x14ac:dyDescent="0.2">
      <c r="A8" s="1"/>
      <c r="B8" s="1"/>
      <c r="C8" s="1"/>
      <c r="D8" s="5">
        <v>1966</v>
      </c>
      <c r="E8" s="6" t="s">
        <v>22</v>
      </c>
      <c r="F8" s="6" t="s">
        <v>23</v>
      </c>
      <c r="G8" s="7">
        <v>6.51</v>
      </c>
      <c r="H8" s="18">
        <v>-1.4</v>
      </c>
      <c r="I8" s="19">
        <v>5054</v>
      </c>
      <c r="J8" s="8" t="s">
        <v>16</v>
      </c>
      <c r="K8" s="20">
        <v>1</v>
      </c>
      <c r="L8" s="9" t="s">
        <v>16</v>
      </c>
      <c r="M8" s="10">
        <v>-47</v>
      </c>
      <c r="N8" s="1"/>
      <c r="O8" s="1"/>
      <c r="P8" s="1"/>
      <c r="Q8" s="1"/>
      <c r="R8" s="1"/>
      <c r="S8" s="1"/>
    </row>
    <row r="9" spans="1:19" ht="16" x14ac:dyDescent="0.2">
      <c r="A9" s="1"/>
      <c r="B9" s="1"/>
      <c r="C9" s="1"/>
      <c r="D9" s="5">
        <v>1970</v>
      </c>
      <c r="E9" s="11" t="s">
        <v>24</v>
      </c>
      <c r="F9" s="11" t="s">
        <v>25</v>
      </c>
      <c r="G9" s="12">
        <v>0.99</v>
      </c>
      <c r="H9" s="21">
        <v>2.1</v>
      </c>
      <c r="I9" s="22">
        <v>822</v>
      </c>
      <c r="J9" s="22">
        <v>133000</v>
      </c>
      <c r="K9" s="23">
        <v>1</v>
      </c>
      <c r="L9" s="9" t="s">
        <v>16</v>
      </c>
      <c r="M9" s="10">
        <v>-12</v>
      </c>
      <c r="N9" s="1"/>
      <c r="O9" s="1"/>
      <c r="P9" s="1"/>
      <c r="Q9" s="1"/>
      <c r="R9" s="1"/>
      <c r="S9" s="1"/>
    </row>
    <row r="10" spans="1:19" ht="16" x14ac:dyDescent="0.2">
      <c r="A10" s="1"/>
      <c r="B10" s="1"/>
      <c r="C10" s="1"/>
      <c r="D10" s="5">
        <v>1974</v>
      </c>
      <c r="E10" s="6" t="s">
        <v>26</v>
      </c>
      <c r="F10" s="6" t="s">
        <v>27</v>
      </c>
      <c r="G10" s="7">
        <v>1.1100000000000001</v>
      </c>
      <c r="H10" s="18">
        <v>1</v>
      </c>
      <c r="I10" s="19">
        <v>2616</v>
      </c>
      <c r="J10" s="19">
        <v>141000</v>
      </c>
      <c r="K10" s="20">
        <v>1</v>
      </c>
      <c r="L10" s="9" t="s">
        <v>16</v>
      </c>
      <c r="M10" s="10">
        <v>-48</v>
      </c>
      <c r="N10" s="1"/>
      <c r="O10" s="1"/>
      <c r="P10" s="1"/>
      <c r="Q10" s="1"/>
      <c r="R10" s="1"/>
      <c r="S10" s="1"/>
    </row>
    <row r="11" spans="1:19" ht="16" x14ac:dyDescent="0.2">
      <c r="A11" s="1"/>
      <c r="B11" s="1"/>
      <c r="C11" s="1"/>
      <c r="D11" s="5">
        <v>1978</v>
      </c>
      <c r="E11" s="11" t="s">
        <v>28</v>
      </c>
      <c r="F11" s="11" t="s">
        <v>29</v>
      </c>
      <c r="G11" s="12">
        <v>5.94</v>
      </c>
      <c r="H11" s="21">
        <v>-1.8</v>
      </c>
      <c r="I11" s="22">
        <v>6968</v>
      </c>
      <c r="J11" s="22">
        <v>-100000</v>
      </c>
      <c r="K11" s="23">
        <v>1</v>
      </c>
      <c r="L11" s="13">
        <v>-15.8</v>
      </c>
      <c r="M11" s="10">
        <v>-15</v>
      </c>
      <c r="N11" s="1"/>
      <c r="O11" s="1"/>
      <c r="P11" s="1"/>
      <c r="Q11" s="1"/>
      <c r="R11" s="1"/>
      <c r="S11" s="1"/>
    </row>
    <row r="12" spans="1:19" ht="16" x14ac:dyDescent="0.2">
      <c r="A12" s="1"/>
      <c r="B12" s="1"/>
      <c r="C12" s="1"/>
      <c r="D12" s="5">
        <v>1982</v>
      </c>
      <c r="E12" s="6" t="s">
        <v>30</v>
      </c>
      <c r="F12" s="6" t="s">
        <v>31</v>
      </c>
      <c r="G12" s="7">
        <v>0.03</v>
      </c>
      <c r="H12" s="18">
        <v>3</v>
      </c>
      <c r="I12" s="19">
        <v>-2198</v>
      </c>
      <c r="J12" s="19">
        <v>284000</v>
      </c>
      <c r="K12" s="20">
        <v>1</v>
      </c>
      <c r="L12" s="13">
        <v>-31.5</v>
      </c>
      <c r="M12" s="10">
        <v>-26</v>
      </c>
      <c r="N12" s="1"/>
      <c r="O12" s="1"/>
      <c r="P12" s="1"/>
      <c r="Q12" s="1"/>
      <c r="R12" s="1"/>
      <c r="S12" s="1"/>
    </row>
    <row r="13" spans="1:19" ht="16" x14ac:dyDescent="0.2">
      <c r="A13" s="1"/>
      <c r="B13" s="1"/>
      <c r="C13" s="1"/>
      <c r="D13" s="5">
        <v>1986</v>
      </c>
      <c r="E13" s="11" t="s">
        <v>30</v>
      </c>
      <c r="F13" s="11" t="s">
        <v>32</v>
      </c>
      <c r="G13" s="12">
        <v>3.56</v>
      </c>
      <c r="H13" s="21">
        <v>-0.2</v>
      </c>
      <c r="I13" s="22">
        <v>3618</v>
      </c>
      <c r="J13" s="22">
        <v>40000</v>
      </c>
      <c r="K13" s="23">
        <v>1</v>
      </c>
      <c r="L13" s="14">
        <v>3.4</v>
      </c>
      <c r="M13" s="10">
        <v>-5</v>
      </c>
      <c r="N13" s="1"/>
      <c r="O13" s="1"/>
      <c r="P13" s="1"/>
      <c r="Q13" s="1"/>
      <c r="R13" s="1"/>
      <c r="S13" s="1"/>
    </row>
    <row r="14" spans="1:19" ht="16" x14ac:dyDescent="0.2">
      <c r="A14" s="1"/>
      <c r="B14" s="1"/>
      <c r="C14" s="1"/>
      <c r="D14" s="5">
        <v>1990</v>
      </c>
      <c r="E14" s="6" t="s">
        <v>33</v>
      </c>
      <c r="F14" s="6" t="s">
        <v>34</v>
      </c>
      <c r="G14" s="7">
        <v>1.7</v>
      </c>
      <c r="H14" s="18">
        <v>0.7</v>
      </c>
      <c r="I14" s="19">
        <v>1950</v>
      </c>
      <c r="J14" s="19">
        <v>107000</v>
      </c>
      <c r="K14" s="20">
        <v>1</v>
      </c>
      <c r="L14" s="13">
        <v>-2.7</v>
      </c>
      <c r="M14" s="10">
        <v>-8</v>
      </c>
      <c r="N14" s="1"/>
      <c r="O14" s="1"/>
      <c r="P14" s="1"/>
      <c r="Q14" s="1"/>
      <c r="R14" s="1"/>
      <c r="S14" s="1"/>
    </row>
    <row r="15" spans="1:19" ht="16" x14ac:dyDescent="0.2">
      <c r="A15" s="1"/>
      <c r="B15" s="1"/>
      <c r="C15" s="1"/>
      <c r="D15" s="5">
        <v>1994</v>
      </c>
      <c r="E15" s="11" t="s">
        <v>35</v>
      </c>
      <c r="F15" s="11" t="s">
        <v>36</v>
      </c>
      <c r="G15" s="12">
        <v>3.38</v>
      </c>
      <c r="H15" s="21">
        <v>-1.3</v>
      </c>
      <c r="I15" s="22">
        <v>5410</v>
      </c>
      <c r="J15" s="22">
        <v>-15000</v>
      </c>
      <c r="K15" s="23">
        <v>1</v>
      </c>
      <c r="L15" s="13">
        <v>-32.299999999999997</v>
      </c>
      <c r="M15" s="10">
        <v>-54</v>
      </c>
      <c r="N15" s="1"/>
      <c r="O15" s="1"/>
      <c r="P15" s="1"/>
      <c r="Q15" s="1"/>
      <c r="R15" s="1"/>
      <c r="S15" s="1"/>
    </row>
    <row r="16" spans="1:19" ht="16" x14ac:dyDescent="0.2">
      <c r="A16" s="1"/>
      <c r="B16" s="1"/>
      <c r="C16" s="1"/>
      <c r="D16" s="5">
        <v>1998</v>
      </c>
      <c r="E16" s="6" t="s">
        <v>35</v>
      </c>
      <c r="F16" s="6" t="s">
        <v>37</v>
      </c>
      <c r="G16" s="7">
        <v>4.7</v>
      </c>
      <c r="H16" s="18">
        <v>-0.7</v>
      </c>
      <c r="I16" s="19">
        <v>5276</v>
      </c>
      <c r="J16" s="19">
        <v>-40000</v>
      </c>
      <c r="K16" s="20">
        <v>1</v>
      </c>
      <c r="L16" s="13">
        <v>-6.9</v>
      </c>
      <c r="M16" s="15">
        <v>5</v>
      </c>
      <c r="N16" s="1"/>
      <c r="O16" s="1"/>
      <c r="P16" s="1"/>
      <c r="Q16" s="1"/>
      <c r="R16" s="1"/>
      <c r="S16" s="1"/>
    </row>
    <row r="17" spans="1:19" ht="16" x14ac:dyDescent="0.2">
      <c r="A17" s="1"/>
      <c r="B17" s="1"/>
      <c r="C17" s="1"/>
      <c r="D17" s="5">
        <v>2002</v>
      </c>
      <c r="E17" s="11" t="s">
        <v>38</v>
      </c>
      <c r="F17" s="11" t="s">
        <v>39</v>
      </c>
      <c r="G17" s="12">
        <v>1.0900000000000001</v>
      </c>
      <c r="H17" s="21">
        <v>1.5</v>
      </c>
      <c r="I17" s="22">
        <v>-2171</v>
      </c>
      <c r="J17" s="22">
        <v>58000</v>
      </c>
      <c r="K17" s="23">
        <v>1</v>
      </c>
      <c r="L17" s="14">
        <v>6.5</v>
      </c>
      <c r="M17" s="15">
        <v>8</v>
      </c>
      <c r="N17" s="1"/>
      <c r="O17" s="1"/>
      <c r="P17" s="1"/>
      <c r="Q17" s="1"/>
      <c r="R17" s="1"/>
      <c r="S17" s="1"/>
    </row>
    <row r="18" spans="1:19" ht="16" x14ac:dyDescent="0.2">
      <c r="A18" s="1"/>
      <c r="B18" s="1"/>
      <c r="C18" s="1"/>
      <c r="D18" s="5">
        <v>2006</v>
      </c>
      <c r="E18" s="6" t="s">
        <v>38</v>
      </c>
      <c r="F18" s="6" t="s">
        <v>40</v>
      </c>
      <c r="G18" s="7">
        <v>2.81</v>
      </c>
      <c r="H18" s="18">
        <v>-1</v>
      </c>
      <c r="I18" s="19">
        <v>3809</v>
      </c>
      <c r="J18" s="19">
        <v>-10000</v>
      </c>
      <c r="K18" s="20">
        <v>1</v>
      </c>
      <c r="L18" s="13">
        <v>-41.2</v>
      </c>
      <c r="M18" s="10">
        <v>-30</v>
      </c>
      <c r="N18" s="1"/>
      <c r="O18" s="1"/>
      <c r="P18" s="1"/>
      <c r="Q18" s="1"/>
      <c r="R18" s="1"/>
      <c r="S18" s="1"/>
    </row>
    <row r="19" spans="1:19" ht="16" x14ac:dyDescent="0.2">
      <c r="A19" s="1"/>
      <c r="B19" s="1"/>
      <c r="C19" s="1"/>
      <c r="D19" s="5">
        <v>2010</v>
      </c>
      <c r="E19" s="11" t="s">
        <v>41</v>
      </c>
      <c r="F19" s="11" t="s">
        <v>42</v>
      </c>
      <c r="G19" s="12">
        <v>1.45</v>
      </c>
      <c r="H19" s="21">
        <v>1.1000000000000001</v>
      </c>
      <c r="I19" s="22">
        <v>-2698</v>
      </c>
      <c r="J19" s="22">
        <v>-127000</v>
      </c>
      <c r="K19" s="23">
        <v>1</v>
      </c>
      <c r="L19" s="13">
        <v>-59.3</v>
      </c>
      <c r="M19" s="10">
        <v>-63</v>
      </c>
      <c r="N19" s="1"/>
      <c r="O19" s="1"/>
      <c r="P19" s="1"/>
      <c r="Q19" s="1"/>
      <c r="R19" s="1"/>
      <c r="S19" s="1"/>
    </row>
    <row r="20" spans="1:19" ht="16" x14ac:dyDescent="0.2">
      <c r="A20" s="1"/>
      <c r="B20" s="1"/>
      <c r="C20" s="1"/>
      <c r="D20" s="5">
        <v>2014</v>
      </c>
      <c r="E20" s="6" t="s">
        <v>41</v>
      </c>
      <c r="F20" s="6" t="s">
        <v>43</v>
      </c>
      <c r="G20" s="7">
        <v>2.88</v>
      </c>
      <c r="H20" s="18">
        <v>-2</v>
      </c>
      <c r="I20" s="19">
        <v>4252</v>
      </c>
      <c r="J20" s="19">
        <v>-44000</v>
      </c>
      <c r="K20" s="20">
        <v>1</v>
      </c>
      <c r="L20" s="13">
        <v>-18.7</v>
      </c>
      <c r="M20" s="10">
        <v>-13</v>
      </c>
      <c r="N20" s="1"/>
      <c r="O20" s="1"/>
      <c r="P20" s="1"/>
      <c r="Q20" s="1"/>
      <c r="R20" s="1"/>
      <c r="S20" s="1"/>
    </row>
    <row r="21" spans="1:19" ht="16" x14ac:dyDescent="0.2">
      <c r="A21" s="1"/>
      <c r="B21" s="1"/>
      <c r="C21" s="1"/>
      <c r="D21" s="5">
        <v>2018</v>
      </c>
      <c r="E21" s="11" t="s">
        <v>44</v>
      </c>
      <c r="F21" s="11" t="s">
        <v>45</v>
      </c>
      <c r="G21" s="12">
        <v>2.57</v>
      </c>
      <c r="H21" s="21">
        <v>-0.8</v>
      </c>
      <c r="I21" s="22">
        <v>3681</v>
      </c>
      <c r="J21" s="22">
        <v>-45000</v>
      </c>
      <c r="K21" s="23">
        <v>1</v>
      </c>
      <c r="L21" s="13">
        <v>-41.8</v>
      </c>
      <c r="M21" s="10">
        <v>-40</v>
      </c>
      <c r="N21" s="1"/>
      <c r="O21" s="1"/>
      <c r="P21" s="1"/>
      <c r="Q21" s="1"/>
      <c r="R21" s="1"/>
      <c r="S21" s="1"/>
    </row>
    <row r="22" spans="1:19" ht="16" x14ac:dyDescent="0.2">
      <c r="A22" s="1"/>
      <c r="B22" s="1"/>
      <c r="C22" s="1"/>
      <c r="D22" s="5">
        <v>2022</v>
      </c>
      <c r="E22" s="6" t="s">
        <v>46</v>
      </c>
      <c r="F22" s="6" t="s">
        <v>47</v>
      </c>
      <c r="G22" s="7">
        <v>3.54</v>
      </c>
      <c r="H22" s="18">
        <v>-2.6</v>
      </c>
      <c r="I22" s="19">
        <v>10559</v>
      </c>
      <c r="J22" s="19">
        <v>-597000</v>
      </c>
      <c r="K22" s="20">
        <v>1</v>
      </c>
      <c r="L22" s="13">
        <v>-9.9</v>
      </c>
      <c r="M22" s="10">
        <v>-9</v>
      </c>
      <c r="N22" s="1"/>
      <c r="O22" s="1"/>
      <c r="P22" s="1"/>
      <c r="Q22" s="1"/>
      <c r="R22" s="1"/>
      <c r="S22" s="1"/>
    </row>
    <row r="23" spans="1:19" ht="16" x14ac:dyDescent="0.2">
      <c r="A23" s="1"/>
      <c r="B23" s="1"/>
      <c r="C23" s="1"/>
      <c r="D23" s="5">
        <v>2026</v>
      </c>
      <c r="E23" s="11" t="s">
        <v>44</v>
      </c>
      <c r="F23" s="11" t="s">
        <v>48</v>
      </c>
      <c r="G23" s="16" t="s">
        <v>49</v>
      </c>
      <c r="H23" s="16" t="s">
        <v>49</v>
      </c>
      <c r="I23" s="16" t="s">
        <v>49</v>
      </c>
      <c r="J23" s="24" t="s">
        <v>49</v>
      </c>
      <c r="K23" s="23">
        <v>1</v>
      </c>
      <c r="L23" s="13" t="str">
        <f>IF(AND(G23&lt;&gt;"PENDING",J23&lt;&gt;"PENDING",Consumer!G23&lt;&gt;"PENDING",Consumer!H23&lt;&gt;"PENDING",Consumer!L23&lt;&gt;"PENDING"),ROUND(-13.83+(2.28*Consumer!G23)+(-1.68*Consumer!H23)+(-1.29*Consumer!L23)+(-5.43*G23)+(-0.04*(J23/1000)),1),"")</f>
        <v/>
      </c>
      <c r="M23" s="17" t="s">
        <v>50</v>
      </c>
      <c r="N23" s="1"/>
      <c r="O23" s="1"/>
      <c r="P23" s="1"/>
      <c r="Q23" s="1"/>
      <c r="R23" s="1"/>
      <c r="S23" s="1"/>
    </row>
    <row r="24" spans="1:19" x14ac:dyDescent="0.2">
      <c r="A24" s="1"/>
      <c r="B24" s="1"/>
      <c r="C24" s="1"/>
      <c r="N24" s="1"/>
      <c r="O24" s="1"/>
      <c r="P24" s="1"/>
      <c r="Q24" s="1"/>
      <c r="R24" s="1"/>
      <c r="S24" s="1"/>
    </row>
    <row r="25" spans="1:19" x14ac:dyDescent="0.2">
      <c r="A25" s="1"/>
      <c r="B25" s="1"/>
      <c r="C25" s="1"/>
      <c r="N25" s="1"/>
      <c r="O25" s="1"/>
      <c r="P25" s="1"/>
      <c r="Q25" s="1"/>
      <c r="R25" s="1"/>
      <c r="S25" s="1"/>
    </row>
    <row r="26" spans="1:19" ht="16" x14ac:dyDescent="0.2">
      <c r="A26" s="1"/>
      <c r="B26" s="1"/>
      <c r="C26" s="1"/>
      <c r="D26" s="29" t="s">
        <v>51</v>
      </c>
      <c r="E26" s="26"/>
      <c r="F26" s="26"/>
      <c r="G26" s="26"/>
      <c r="H26" s="26"/>
      <c r="I26" s="26"/>
      <c r="J26" s="26"/>
      <c r="K26" s="26"/>
      <c r="L26" s="26"/>
      <c r="M26" s="26"/>
      <c r="N26" s="1"/>
      <c r="O26" s="1"/>
      <c r="P26" s="1"/>
      <c r="Q26" s="1"/>
      <c r="R26" s="1"/>
      <c r="S26" s="1"/>
    </row>
    <row r="27" spans="1:19" ht="16" x14ac:dyDescent="0.2">
      <c r="A27" s="1"/>
      <c r="B27" s="1"/>
      <c r="C27" s="1"/>
      <c r="D27" s="25" t="s">
        <v>52</v>
      </c>
      <c r="E27" s="26"/>
      <c r="F27" s="26"/>
      <c r="G27" s="26"/>
      <c r="H27" s="26"/>
      <c r="I27" s="26"/>
      <c r="J27" s="26"/>
      <c r="K27" s="26"/>
      <c r="L27" s="26"/>
      <c r="M27" s="26"/>
      <c r="N27" s="1"/>
      <c r="O27" s="1"/>
      <c r="P27" s="1"/>
      <c r="Q27" s="1"/>
      <c r="R27" s="1"/>
      <c r="S27" s="1"/>
    </row>
    <row r="28" spans="1:19" ht="16" x14ac:dyDescent="0.2">
      <c r="A28" s="1"/>
      <c r="B28" s="1"/>
      <c r="C28" s="1"/>
      <c r="D28" s="25" t="s">
        <v>53</v>
      </c>
      <c r="E28" s="26"/>
      <c r="F28" s="26"/>
      <c r="G28" s="26"/>
      <c r="H28" s="26"/>
      <c r="I28" s="26"/>
      <c r="J28" s="26"/>
      <c r="K28" s="26"/>
      <c r="L28" s="26"/>
      <c r="M28" s="26"/>
      <c r="N28" s="1"/>
      <c r="O28" s="1"/>
      <c r="P28" s="1"/>
      <c r="Q28" s="1"/>
      <c r="R28" s="1"/>
      <c r="S28" s="1"/>
    </row>
    <row r="29" spans="1:19" ht="16" x14ac:dyDescent="0.2">
      <c r="A29" s="1"/>
      <c r="B29" s="1"/>
      <c r="C29" s="1"/>
      <c r="D29" s="25" t="s">
        <v>54</v>
      </c>
      <c r="E29" s="26"/>
      <c r="F29" s="26"/>
      <c r="G29" s="26"/>
      <c r="H29" s="26"/>
      <c r="I29" s="26"/>
      <c r="J29" s="26"/>
      <c r="K29" s="26"/>
      <c r="L29" s="26"/>
      <c r="M29" s="26"/>
      <c r="N29" s="1"/>
      <c r="O29" s="1"/>
      <c r="P29" s="1"/>
      <c r="Q29" s="1"/>
      <c r="R29" s="1"/>
      <c r="S29" s="1"/>
    </row>
    <row r="30" spans="1:19" ht="16" x14ac:dyDescent="0.2">
      <c r="A30" s="1"/>
      <c r="B30" s="1"/>
      <c r="C30" s="1"/>
      <c r="D30" s="25" t="s">
        <v>73</v>
      </c>
      <c r="E30" s="26"/>
      <c r="F30" s="26"/>
      <c r="G30" s="26"/>
      <c r="H30" s="26"/>
      <c r="I30" s="26"/>
      <c r="J30" s="26"/>
      <c r="K30" s="26"/>
      <c r="L30" s="26"/>
      <c r="M30" s="26"/>
      <c r="N30" s="1"/>
      <c r="O30" s="1"/>
      <c r="P30" s="1"/>
      <c r="Q30" s="1"/>
      <c r="R30" s="1"/>
      <c r="S30" s="1"/>
    </row>
    <row r="31" spans="1:19" ht="16" x14ac:dyDescent="0.2">
      <c r="A31" s="1"/>
      <c r="B31" s="1"/>
      <c r="C31" s="1"/>
      <c r="D31" s="25" t="s">
        <v>55</v>
      </c>
      <c r="E31" s="26"/>
      <c r="F31" s="26"/>
      <c r="G31" s="26"/>
      <c r="H31" s="26"/>
      <c r="I31" s="26"/>
      <c r="J31" s="26"/>
      <c r="K31" s="26"/>
      <c r="L31" s="26"/>
      <c r="M31" s="26"/>
      <c r="N31" s="1"/>
      <c r="O31" s="1"/>
      <c r="P31" s="1"/>
      <c r="Q31" s="1"/>
      <c r="R31" s="1"/>
      <c r="S31" s="1"/>
    </row>
    <row r="32" spans="1:19" x14ac:dyDescent="0.2">
      <c r="A32" s="1"/>
      <c r="B32" s="1"/>
      <c r="C32" s="1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1"/>
      <c r="O32" s="1"/>
      <c r="P32" s="1"/>
      <c r="Q32" s="1"/>
      <c r="R32" s="1"/>
      <c r="S32" s="1"/>
    </row>
    <row r="33" spans="1:19" ht="16" x14ac:dyDescent="0.2">
      <c r="A33" s="1"/>
      <c r="B33" s="1"/>
      <c r="C33" s="1"/>
      <c r="D33" s="27" t="s">
        <v>56</v>
      </c>
      <c r="E33" s="26"/>
      <c r="F33" s="26"/>
      <c r="G33" s="26"/>
      <c r="H33" s="26"/>
      <c r="I33" s="26"/>
      <c r="J33" s="26"/>
      <c r="K33" s="26"/>
      <c r="L33" s="26"/>
      <c r="M33" s="26"/>
      <c r="N33" s="1"/>
      <c r="O33" s="1"/>
      <c r="P33" s="1"/>
      <c r="Q33" s="1"/>
      <c r="R33" s="1"/>
      <c r="S33" s="1"/>
    </row>
    <row r="34" spans="1:19" ht="16" x14ac:dyDescent="0.2">
      <c r="A34" s="1"/>
      <c r="B34" s="1"/>
      <c r="C34" s="1"/>
      <c r="D34" s="25" t="s">
        <v>74</v>
      </c>
      <c r="E34" s="26"/>
      <c r="F34" s="26"/>
      <c r="G34" s="26"/>
      <c r="H34" s="26"/>
      <c r="I34" s="26"/>
      <c r="J34" s="26"/>
      <c r="K34" s="26"/>
      <c r="L34" s="26"/>
      <c r="M34" s="26"/>
      <c r="N34" s="1"/>
      <c r="O34" s="1"/>
      <c r="P34" s="1"/>
      <c r="Q34" s="1"/>
      <c r="R34" s="1"/>
      <c r="S34" s="1"/>
    </row>
    <row r="35" spans="1:19" ht="16" x14ac:dyDescent="0.2">
      <c r="A35" s="1"/>
      <c r="B35" s="1"/>
      <c r="C35" s="1"/>
      <c r="D35" s="25" t="s">
        <v>75</v>
      </c>
      <c r="E35" s="26"/>
      <c r="F35" s="26"/>
      <c r="G35" s="26"/>
      <c r="H35" s="26"/>
      <c r="I35" s="26"/>
      <c r="J35" s="26"/>
      <c r="K35" s="26"/>
      <c r="L35" s="26"/>
      <c r="M35" s="26"/>
      <c r="N35" s="1"/>
      <c r="O35" s="1"/>
      <c r="P35" s="1"/>
      <c r="Q35" s="1"/>
      <c r="R35" s="1"/>
      <c r="S35" s="1"/>
    </row>
    <row r="36" spans="1:19" ht="16" x14ac:dyDescent="0.2">
      <c r="A36" s="1"/>
      <c r="B36" s="1"/>
      <c r="C36" s="1"/>
      <c r="D36" s="25" t="s">
        <v>76</v>
      </c>
      <c r="E36" s="26"/>
      <c r="F36" s="26"/>
      <c r="G36" s="26"/>
      <c r="H36" s="26"/>
      <c r="I36" s="26"/>
      <c r="J36" s="26"/>
      <c r="K36" s="26"/>
      <c r="L36" s="26"/>
      <c r="M36" s="26"/>
      <c r="N36" s="1"/>
      <c r="O36" s="1"/>
      <c r="P36" s="1"/>
      <c r="Q36" s="1"/>
      <c r="R36" s="1"/>
      <c r="S36" s="1"/>
    </row>
    <row r="37" spans="1:19" ht="16" x14ac:dyDescent="0.2">
      <c r="A37" s="1"/>
      <c r="B37" s="1"/>
      <c r="C37" s="1"/>
      <c r="D37" s="25" t="s">
        <v>77</v>
      </c>
      <c r="E37" s="26"/>
      <c r="F37" s="26"/>
      <c r="G37" s="26"/>
      <c r="H37" s="26"/>
      <c r="I37" s="26"/>
      <c r="J37" s="26"/>
      <c r="K37" s="26"/>
      <c r="L37" s="26"/>
      <c r="M37" s="26"/>
      <c r="N37" s="1"/>
      <c r="O37" s="1"/>
      <c r="P37" s="1"/>
      <c r="Q37" s="1"/>
      <c r="R37" s="1"/>
      <c r="S37" s="1"/>
    </row>
    <row r="38" spans="1:19" x14ac:dyDescent="0.2">
      <c r="A38" s="1"/>
      <c r="B38" s="1"/>
      <c r="C38" s="1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1"/>
      <c r="O38" s="1"/>
      <c r="P38" s="1"/>
      <c r="Q38" s="1"/>
      <c r="R38" s="1"/>
      <c r="S38" s="1"/>
    </row>
    <row r="39" spans="1:19" ht="16" x14ac:dyDescent="0.2">
      <c r="A39" s="1"/>
      <c r="B39" s="1"/>
      <c r="C39" s="1"/>
      <c r="D39" s="27" t="s">
        <v>60</v>
      </c>
      <c r="E39" s="26"/>
      <c r="F39" s="26"/>
      <c r="G39" s="26"/>
      <c r="H39" s="26"/>
      <c r="I39" s="26"/>
      <c r="J39" s="26"/>
      <c r="K39" s="26"/>
      <c r="L39" s="26"/>
      <c r="M39" s="26"/>
      <c r="N39" s="1"/>
      <c r="O39" s="1"/>
      <c r="P39" s="1"/>
      <c r="Q39" s="1"/>
      <c r="R39" s="1"/>
      <c r="S39" s="1"/>
    </row>
    <row r="40" spans="1:19" ht="16" x14ac:dyDescent="0.2">
      <c r="A40" s="1"/>
      <c r="B40" s="1"/>
      <c r="C40" s="1"/>
      <c r="D40" s="25" t="s">
        <v>61</v>
      </c>
      <c r="E40" s="26"/>
      <c r="F40" s="26"/>
      <c r="G40" s="26"/>
      <c r="H40" s="26"/>
      <c r="I40" s="26"/>
      <c r="J40" s="26"/>
      <c r="K40" s="26"/>
      <c r="L40" s="26"/>
      <c r="M40" s="26"/>
      <c r="N40" s="1"/>
      <c r="O40" s="1"/>
      <c r="P40" s="1"/>
      <c r="Q40" s="1"/>
      <c r="R40" s="1"/>
      <c r="S40" s="1"/>
    </row>
    <row r="41" spans="1:19" ht="16" x14ac:dyDescent="0.2">
      <c r="A41" s="1"/>
      <c r="B41" s="1"/>
      <c r="C41" s="1"/>
      <c r="D41" s="25" t="s">
        <v>62</v>
      </c>
      <c r="E41" s="26"/>
      <c r="F41" s="26"/>
      <c r="G41" s="26"/>
      <c r="H41" s="26"/>
      <c r="I41" s="26"/>
      <c r="J41" s="26"/>
      <c r="K41" s="26"/>
      <c r="L41" s="26"/>
      <c r="M41" s="26"/>
      <c r="N41" s="1"/>
      <c r="O41" s="1"/>
      <c r="P41" s="1"/>
      <c r="Q41" s="1"/>
      <c r="R41" s="1"/>
      <c r="S41" s="1"/>
    </row>
    <row r="42" spans="1:19" x14ac:dyDescent="0.2">
      <c r="A42" s="1"/>
      <c r="B42" s="1"/>
      <c r="C42" s="1"/>
      <c r="N42" s="1"/>
      <c r="O42" s="1"/>
      <c r="P42" s="1"/>
      <c r="Q42" s="1"/>
      <c r="R42" s="1"/>
      <c r="S42" s="1"/>
    </row>
    <row r="43" spans="1:19" x14ac:dyDescent="0.2">
      <c r="A43" s="1"/>
      <c r="B43" s="1"/>
      <c r="C43" s="1"/>
      <c r="N43" s="1"/>
      <c r="O43" s="1"/>
      <c r="P43" s="1"/>
      <c r="Q43" s="1"/>
      <c r="R43" s="1"/>
      <c r="S43" s="1"/>
    </row>
    <row r="44" spans="1:19" x14ac:dyDescent="0.2">
      <c r="A44" s="1"/>
      <c r="B44" s="1"/>
      <c r="C44" s="1"/>
      <c r="N44" s="1"/>
      <c r="O44" s="1"/>
      <c r="P44" s="1"/>
      <c r="Q44" s="1"/>
      <c r="R44" s="1"/>
      <c r="S44" s="1"/>
    </row>
    <row r="45" spans="1:19" x14ac:dyDescent="0.2">
      <c r="A45" s="1"/>
      <c r="B45" s="1"/>
      <c r="C45" s="1"/>
      <c r="N45" s="1"/>
      <c r="O45" s="1"/>
      <c r="P45" s="1"/>
      <c r="Q45" s="1"/>
      <c r="R45" s="1"/>
      <c r="S45" s="1"/>
    </row>
    <row r="46" spans="1:19" x14ac:dyDescent="0.2">
      <c r="A46" s="1"/>
      <c r="B46" s="1"/>
      <c r="C46" s="1"/>
      <c r="N46" s="1"/>
      <c r="O46" s="1"/>
      <c r="P46" s="1"/>
      <c r="Q46" s="1"/>
      <c r="R46" s="1"/>
      <c r="S46" s="1"/>
    </row>
    <row r="47" spans="1:19" x14ac:dyDescent="0.2">
      <c r="A47" s="1"/>
      <c r="B47" s="1"/>
      <c r="C47" s="1"/>
      <c r="N47" s="1"/>
      <c r="O47" s="1"/>
      <c r="P47" s="1"/>
      <c r="Q47" s="1"/>
      <c r="R47" s="1"/>
      <c r="S47" s="1"/>
    </row>
  </sheetData>
  <mergeCells count="16">
    <mergeCell ref="D26:M26"/>
    <mergeCell ref="D30:M30"/>
    <mergeCell ref="D39:M39"/>
    <mergeCell ref="D34:M34"/>
    <mergeCell ref="D38:M38"/>
    <mergeCell ref="D33:M33"/>
    <mergeCell ref="D28:M28"/>
    <mergeCell ref="D29:M29"/>
    <mergeCell ref="D27:M27"/>
    <mergeCell ref="D37:M37"/>
    <mergeCell ref="D41:M41"/>
    <mergeCell ref="D31:M31"/>
    <mergeCell ref="D32:M32"/>
    <mergeCell ref="D40:M40"/>
    <mergeCell ref="D35:M35"/>
    <mergeCell ref="D36:M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Institutional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Gupta, Harish</cp:lastModifiedBy>
  <dcterms:created xsi:type="dcterms:W3CDTF">2026-03-26T18:18:01Z</dcterms:created>
  <dcterms:modified xsi:type="dcterms:W3CDTF">2026-03-26T18:30:32Z</dcterms:modified>
</cp:coreProperties>
</file>