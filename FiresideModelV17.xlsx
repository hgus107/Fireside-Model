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g/Downloads/Political Sci &amp; Poltics/"/>
    </mc:Choice>
  </mc:AlternateContent>
  <xr:revisionPtr revIDLastSave="0" documentId="13_ncr:1_{3D8310DA-2A24-A64E-82A9-A0FE677C339E}" xr6:coauthVersionLast="47" xr6:coauthVersionMax="47" xr10:uidLastSave="{00000000-0000-0000-0000-000000000000}"/>
  <bookViews>
    <workbookView xWindow="0" yWindow="600" windowWidth="28800" windowHeight="16180" activeTab="1" xr2:uid="{00000000-000D-0000-FFFF-FFFF00000000}"/>
  </bookViews>
  <sheets>
    <sheet name="Consumer" sheetId="1" r:id="rId1"/>
    <sheet name="Institutio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4" i="2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</calcChain>
</file>

<file path=xl/sharedStrings.xml><?xml version="1.0" encoding="utf-8"?>
<sst xmlns="http://schemas.openxmlformats.org/spreadsheetml/2006/main" count="141" uniqueCount="61">
  <si>
    <t>THE FIRESIDE MODEL</t>
  </si>
  <si>
    <t>CONSUMER DIRECT INDICATORS (Pocketbook Variables)</t>
  </si>
  <si>
    <t>Midterm
Year</t>
  </si>
  <si>
    <t>President
(Party)</t>
  </si>
  <si>
    <t>Data Window</t>
  </si>
  <si>
    <t>CPI-Food
% Change</t>
  </si>
  <si>
    <t>CPI-Energy
% Change</t>
  </si>
  <si>
    <t>CPI-Utilities
% Change</t>
  </si>
  <si>
    <t>Retail Sales
% Change</t>
  </si>
  <si>
    <t>Real Income
% Change</t>
  </si>
  <si>
    <t>Actual
Gained/Lost</t>
  </si>
  <si>
    <t>Truman (D)</t>
  </si>
  <si>
    <t>Feb 1949 - Oct 1950</t>
  </si>
  <si>
    <t>—</t>
  </si>
  <si>
    <t>Eisenhower (R)</t>
  </si>
  <si>
    <t>Feb 1953 - Oct 1954</t>
  </si>
  <si>
    <t>Feb 1957 - Oct 1958</t>
  </si>
  <si>
    <t>Kennedy (D)</t>
  </si>
  <si>
    <t>Feb 1961 - Oct 1962</t>
  </si>
  <si>
    <t>Johnson (D)</t>
  </si>
  <si>
    <t>Feb 1965 - Oct 1966</t>
  </si>
  <si>
    <t>Nixon (R)</t>
  </si>
  <si>
    <t>Feb 1969 - Oct 1970</t>
  </si>
  <si>
    <t>Ford (R)</t>
  </si>
  <si>
    <t>Feb 1973 - Oct 1974</t>
  </si>
  <si>
    <t>Carter (D)</t>
  </si>
  <si>
    <t>Feb 1977 - Oct 1978</t>
  </si>
  <si>
    <t>Reagan (R)</t>
  </si>
  <si>
    <t>Feb 1981 - Oct 1982</t>
  </si>
  <si>
    <t>Feb 1985 - Oct 1986</t>
  </si>
  <si>
    <t>Bush Sr. (R)</t>
  </si>
  <si>
    <t>Feb 1989 - Oct 1990</t>
  </si>
  <si>
    <t>Clinton (D)</t>
  </si>
  <si>
    <t>Feb 1993 - Oct 1994</t>
  </si>
  <si>
    <t>Feb 1997 - Oct 1998</t>
  </si>
  <si>
    <t>Bush Jr. (R)</t>
  </si>
  <si>
    <t>Feb 2001 - Oct 2002</t>
  </si>
  <si>
    <t>Feb 2005 - Oct 2006</t>
  </si>
  <si>
    <t>Obama (D)</t>
  </si>
  <si>
    <t>Feb 2009 - Oct 2010</t>
  </si>
  <si>
    <t>Feb 2013 - Oct 2014</t>
  </si>
  <si>
    <t>Trump (R)</t>
  </si>
  <si>
    <t>Feb 2017 - Oct 2018</t>
  </si>
  <si>
    <t>Biden (D)</t>
  </si>
  <si>
    <t>Feb 2021 - Oct 2022</t>
  </si>
  <si>
    <t>Feb 2025 - Oct 2026</t>
  </si>
  <si>
    <t>?</t>
  </si>
  <si>
    <t>GDP Growth
Rate %</t>
  </si>
  <si>
    <t>Unemployment
Rate Chg (pts)</t>
  </si>
  <si>
    <t>Nonfarm Payrolls
Cuml Chg (000s)</t>
  </si>
  <si>
    <t>GDP Growth %</t>
  </si>
  <si>
    <t>ICSA Chg (000s)</t>
  </si>
  <si>
    <t>Model        Predicted</t>
  </si>
  <si>
    <t>PPI %      Change</t>
  </si>
  <si>
    <t>References</t>
  </si>
  <si>
    <t>Consumer
Sentiment Pt Chg</t>
  </si>
  <si>
    <t>ICSA Chg      (000s)</t>
  </si>
  <si>
    <t>INSTITUTIONAL INDICATORS</t>
  </si>
  <si>
    <r>
      <rPr>
        <b/>
        <sz val="12"/>
        <color theme="5" tint="-0.249977111117893"/>
        <rFont val="Bookman Old Style"/>
        <family val="1"/>
      </rPr>
      <t xml:space="preserve">Legends
</t>
    </r>
    <r>
      <rPr>
        <sz val="12"/>
        <color rgb="FF333333"/>
        <rFont val="Bookman Old Style"/>
        <family val="1"/>
      </rPr>
      <t xml:space="preserve">Leading: Signals future economic direction before it happens
Lagging: Confirms a trend after it has already occurred
Coincident: Moves in real-time with the current economy
Red or Green numbers in Actual column represent Lose or gain by the party in power
Dash: Indicator did not exist for this time period
PENDING: 2026 data window still in progress (Feb 2025 through Oct 2026)
Columns I, J, K, L are not used in Model Predicted calculation, as their contribution is not significant
</t>
    </r>
    <r>
      <rPr>
        <b/>
        <sz val="12"/>
        <color theme="5" tint="-0.249977111117893"/>
        <rFont val="Bookman Old Style"/>
        <family val="1"/>
      </rPr>
      <t xml:space="preserve">Calculation Technique
</t>
    </r>
    <r>
      <rPr>
        <sz val="12"/>
        <color rgb="FF333333"/>
        <rFont val="Bookman Old Style"/>
        <family val="1"/>
      </rPr>
      <t xml:space="preserve">Data Window: Feb of inauguration year through Oct of the midterm election year (approximately 21 months)
CPI-Food: % Change from Feb inauguration year to Oct midterm year
CPI-Energy: % Change from Feb inauguration year to Oct midterm year
GDP Growth: Average annualized quarterly growth rate across the full data window
Consumer Sentiment: Point change in Michigan index from Feb inauguration year to Oct midterm year
ICSA: Change in weekly initial jobless claims (thousands) from Feb inauguration to Oct midterm year
Note: CPI-Utilities, PPI, Retail Sales, and Real Income are measured as % Change from Feb inauguration year to Oct midterm year but are not used in the 
Model Predicted calculation, as their individual contribution was not statistically significant.
</t>
    </r>
    <r>
      <rPr>
        <b/>
        <sz val="12"/>
        <color theme="5" tint="-0.249977111117893"/>
        <rFont val="Bookman Old Style"/>
        <family val="1"/>
      </rPr>
      <t>The Fireside Consumer Equation</t>
    </r>
    <r>
      <rPr>
        <sz val="12"/>
        <color rgb="FF333333"/>
        <rFont val="Bookman Old Style"/>
        <family val="1"/>
      </rPr>
      <t xml:space="preserve">
House Seat Change = -13.83 + (2.28 x CPI-Food%) + (-1.68 x CPI-Energy%) + (-1.29 x Consumer Sentiment) + (-5.43 x GDP%) + (-0.04 x ICSA chg in 000s)
R-squared = 0.8336 | Mean Absolute Error = 6.5 seats | Based on 12 midterm elections (1978-2022)
Note: Consumer-facing indicators (CPI-Food, CPI-Energy, Consumer Sentiment) carry substantially greater explanatory power than institutional indicators. 
GDP Growth and Initial Jobless Claims from the Institutional sheet complete the five-variable model.</t>
    </r>
  </si>
  <si>
    <r>
      <rPr>
        <b/>
        <sz val="12"/>
        <color theme="5" tint="-0.249977111117893"/>
        <rFont val="Bookman Old Style"/>
        <family val="1"/>
      </rPr>
      <t>Legends</t>
    </r>
    <r>
      <rPr>
        <sz val="12"/>
        <color theme="1"/>
        <rFont val="Bookman Old Style"/>
        <family val="1"/>
      </rPr>
      <t xml:space="preserve">
Leading: Signals future economic direction before it happens
Lagging: Confirms a trend after it has already occurred
Coincident: Moves in real-time with the current economy
Red or Green numbers in Actual column represent Lose or gain by the party in power
Dash: Indicator did not exist for this time period
PENDING: 2026 data window still in progress (Feb 2025 through Oct 2026)
</t>
    </r>
    <r>
      <rPr>
        <b/>
        <sz val="12"/>
        <color theme="5" tint="-0.249977111117893"/>
        <rFont val="Bookman Old Style"/>
        <family val="1"/>
      </rPr>
      <t>Calculation Technique</t>
    </r>
    <r>
      <rPr>
        <sz val="12"/>
        <color theme="1"/>
        <rFont val="Bookman Old Style"/>
        <family val="1"/>
      </rPr>
      <t xml:space="preserve">
Data Window: Feb of inauguration year through Oct of the midterm election year (approximately 21 months)
GDP Growth: Average annualized quarterly growth rate across the full data window
Unemployment Rate Change: Rate at Oct midterm minus Rate at Feb inauguration (percentage points)
Nonfarm Payrolls: Cumulative jobs added or lost (thousands) from Feb inauguration to Oct midterm year
ICSA: Change in weekly initial jobless claims (thousands) from Feb inauguration to Oct midterm year
</t>
    </r>
    <r>
      <rPr>
        <b/>
        <sz val="12"/>
        <color theme="5" tint="-0.249977111117893"/>
        <rFont val="Bookman Old Style"/>
        <family val="1"/>
      </rPr>
      <t xml:space="preserve">The Fireside Consumer Equation
</t>
    </r>
    <r>
      <rPr>
        <sz val="12"/>
        <color theme="1"/>
        <rFont val="Bookman Old Style"/>
        <family val="1"/>
      </rPr>
      <t>House Seat Change = -29.69 + (0.32 x GDP%) + (1.57 x Unemployment Chg) + (1.83 x Payrolls in 000s) + (0.01 x ICSA chg in 000s)
R-squared = 0.0343 | Mean Absolute Error = 17.2 seats | Based on 19 midterm elections (1950-2022)
Note: This equation demonstrates that institutional indicators alone are weak predictors of midterm outcomes.</t>
    </r>
  </si>
  <si>
    <t>Model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</si>
</sst>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2"/>
      <color rgb="FF999999"/>
      <name val="Bookman Old Style"/>
      <family val="1"/>
    </font>
    <font>
      <b/>
      <sz val="12"/>
      <color rgb="FF8B0000"/>
      <name val="Bookman Old Style"/>
      <family val="1"/>
    </font>
    <font>
      <b/>
      <sz val="12"/>
      <color rgb="FF2E7D32"/>
      <name val="Bookman Old Style"/>
      <family val="1"/>
    </font>
    <font>
      <i/>
      <sz val="12"/>
      <color rgb="FF999999"/>
      <name val="Bookman Old Style"/>
      <family val="1"/>
    </font>
    <font>
      <b/>
      <i/>
      <sz val="12"/>
      <color rgb="FF999999"/>
      <name val="Bookman Old Style"/>
      <family val="1"/>
    </font>
    <font>
      <sz val="12"/>
      <color rgb="FF333333"/>
      <name val="Bookman Old Style"/>
      <family val="1"/>
    </font>
    <font>
      <sz val="12"/>
      <color rgb="FF9C5700"/>
      <name val="Calibri"/>
      <family val="2"/>
      <scheme val="minor"/>
    </font>
    <font>
      <b/>
      <sz val="24"/>
      <color rgb="FF9C5700"/>
      <name val="Bookman Old Style"/>
      <family val="1"/>
    </font>
    <font>
      <b/>
      <sz val="16"/>
      <color rgb="FF9C5700"/>
      <name val="Bookman Old Style"/>
      <family val="1"/>
    </font>
    <font>
      <b/>
      <sz val="12"/>
      <color theme="5" tint="-0.249977111117893"/>
      <name val="Bookman Old Style"/>
      <family val="1"/>
    </font>
    <font>
      <b/>
      <sz val="12"/>
      <color theme="0"/>
      <name val="Bookman Old Style"/>
      <family val="1"/>
    </font>
    <font>
      <sz val="16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0"/>
      <name val="Bookman Old Style"/>
      <family val="1"/>
    </font>
    <font>
      <sz val="16"/>
      <color theme="0"/>
      <name val="Bookman Old Style"/>
      <family val="1"/>
    </font>
    <font>
      <sz val="12"/>
      <color theme="1"/>
      <name val="Bookman Old Style"/>
      <family val="1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8F9FA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10" fillId="7" borderId="0" applyNumberFormat="0" applyBorder="0" applyAlignment="0" applyProtection="0"/>
  </cellStyleXfs>
  <cellXfs count="52">
    <xf numFmtId="0" fontId="0" fillId="0" borderId="0" xfId="0"/>
    <xf numFmtId="1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2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0" fontId="0" fillId="8" borderId="0" xfId="0" applyFill="1"/>
    <xf numFmtId="0" fontId="0" fillId="11" borderId="0" xfId="0" applyFill="1"/>
    <xf numFmtId="0" fontId="1" fillId="2" borderId="5" xfId="0" applyFont="1" applyFill="1" applyBorder="1" applyAlignment="1">
      <alignment horizontal="center" vertical="center" wrapText="1"/>
    </xf>
    <xf numFmtId="0" fontId="11" fillId="8" borderId="0" xfId="1" applyFont="1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/>
    </xf>
    <xf numFmtId="164" fontId="3" fillId="14" borderId="5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14" fillId="10" borderId="5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center"/>
    </xf>
    <xf numFmtId="0" fontId="16" fillId="8" borderId="0" xfId="0" applyFont="1" applyFill="1"/>
    <xf numFmtId="0" fontId="11" fillId="9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9" borderId="2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15" borderId="2" xfId="1" applyFont="1" applyFill="1" applyBorder="1" applyAlignment="1">
      <alignment horizontal="left" vertical="center"/>
    </xf>
    <xf numFmtId="0" fontId="18" fillId="15" borderId="3" xfId="0" applyFont="1" applyFill="1" applyBorder="1" applyAlignment="1">
      <alignment horizontal="left" vertical="center"/>
    </xf>
    <xf numFmtId="0" fontId="18" fillId="15" borderId="4" xfId="0" applyFont="1" applyFill="1" applyBorder="1" applyAlignment="1">
      <alignment horizontal="left" vertical="center"/>
    </xf>
    <xf numFmtId="0" fontId="19" fillId="0" borderId="7" xfId="0" applyFont="1" applyBorder="1" applyAlignment="1">
      <alignment horizontal="left" vertical="top" wrapText="1"/>
    </xf>
    <xf numFmtId="0" fontId="16" fillId="0" borderId="7" xfId="0" applyFont="1" applyBorder="1"/>
    <xf numFmtId="0" fontId="16" fillId="0" borderId="0" xfId="0" applyFont="1"/>
    <xf numFmtId="0" fontId="11" fillId="9" borderId="6" xfId="1" applyFont="1" applyFill="1" applyBorder="1" applyAlignment="1">
      <alignment horizontal="center" vertical="center" wrapText="1"/>
    </xf>
    <xf numFmtId="0" fontId="11" fillId="9" borderId="7" xfId="1" applyFont="1" applyFill="1" applyBorder="1" applyAlignment="1">
      <alignment horizontal="center" vertical="center" wrapText="1"/>
    </xf>
    <xf numFmtId="0" fontId="11" fillId="9" borderId="8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center" vertical="center" wrapText="1"/>
    </xf>
    <xf numFmtId="0" fontId="12" fillId="9" borderId="3" xfId="1" applyFont="1" applyFill="1" applyBorder="1" applyAlignment="1">
      <alignment horizontal="center" vertical="center" wrapText="1"/>
    </xf>
    <xf numFmtId="0" fontId="12" fillId="9" borderId="4" xfId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7" fillId="15" borderId="9" xfId="1" applyFont="1" applyFill="1" applyBorder="1" applyAlignment="1">
      <alignment horizontal="left" vertical="center" wrapText="1"/>
    </xf>
    <xf numFmtId="0" fontId="17" fillId="15" borderId="10" xfId="1" applyFont="1" applyFill="1" applyBorder="1" applyAlignment="1">
      <alignment horizontal="left" vertical="center" wrapText="1"/>
    </xf>
    <xf numFmtId="0" fontId="17" fillId="15" borderId="11" xfId="1" applyFont="1" applyFill="1" applyBorder="1" applyAlignment="1">
      <alignment horizontal="left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workbookViewId="0">
      <pane ySplit="1" topLeftCell="A20" activePane="bottomLeft" state="frozen"/>
      <selection pane="bottomLeft" activeCell="A27" sqref="A27:N52"/>
    </sheetView>
  </sheetViews>
  <sheetFormatPr baseColWidth="10" defaultColWidth="8.83203125" defaultRowHeight="15" x14ac:dyDescent="0.2"/>
  <cols>
    <col min="1" max="1" width="10.1640625" style="15" bestFit="1" customWidth="1"/>
    <col min="2" max="2" width="16" style="15" bestFit="1" customWidth="1"/>
    <col min="3" max="3" width="21.1640625" style="15" bestFit="1" customWidth="1"/>
    <col min="4" max="4" width="11.33203125" style="15" bestFit="1" customWidth="1"/>
    <col min="5" max="5" width="12.83203125" style="15" bestFit="1" customWidth="1"/>
    <col min="6" max="6" width="13" style="15" customWidth="1"/>
    <col min="7" max="7" width="11.33203125" style="15" bestFit="1" customWidth="1"/>
    <col min="8" max="8" width="20" style="15" bestFit="1" customWidth="1"/>
    <col min="9" max="9" width="13.83203125" style="15" bestFit="1" customWidth="1"/>
    <col min="10" max="10" width="8.83203125" style="15" bestFit="1" customWidth="1"/>
    <col min="11" max="11" width="13.33203125" style="15" bestFit="1" customWidth="1"/>
    <col min="12" max="12" width="14" style="15" bestFit="1" customWidth="1"/>
    <col min="13" max="13" width="11.33203125" style="15" bestFit="1" customWidth="1"/>
    <col min="14" max="14" width="14" style="15" bestFit="1" customWidth="1"/>
    <col min="15" max="16384" width="8.83203125" style="15"/>
  </cols>
  <sheetData>
    <row r="1" spans="1:14" ht="31" x14ac:dyDescent="0.2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22" thickBot="1" x14ac:dyDescent="0.2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34" x14ac:dyDescent="0.2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50</v>
      </c>
      <c r="G3" s="17" t="s">
        <v>51</v>
      </c>
      <c r="H3" s="17" t="s">
        <v>55</v>
      </c>
      <c r="I3" s="23" t="s">
        <v>7</v>
      </c>
      <c r="J3" s="23" t="s">
        <v>53</v>
      </c>
      <c r="K3" s="23" t="s">
        <v>8</v>
      </c>
      <c r="L3" s="23" t="s">
        <v>9</v>
      </c>
      <c r="M3" s="17" t="s">
        <v>52</v>
      </c>
      <c r="N3" s="17" t="s">
        <v>10</v>
      </c>
    </row>
    <row r="4" spans="1:14" ht="16" x14ac:dyDescent="0.2">
      <c r="A4" s="1">
        <v>1950</v>
      </c>
      <c r="B4" s="2" t="s">
        <v>11</v>
      </c>
      <c r="C4" s="2" t="s">
        <v>12</v>
      </c>
      <c r="D4" s="3">
        <v>2.77</v>
      </c>
      <c r="E4" s="4" t="s">
        <v>13</v>
      </c>
      <c r="F4" s="3">
        <v>5.97</v>
      </c>
      <c r="G4" s="4" t="s">
        <v>13</v>
      </c>
      <c r="H4" s="4" t="s">
        <v>13</v>
      </c>
      <c r="I4" s="3">
        <v>0.52</v>
      </c>
      <c r="J4" s="3">
        <v>6.72</v>
      </c>
      <c r="K4" s="4" t="s">
        <v>13</v>
      </c>
      <c r="L4" s="4" t="s">
        <v>13</v>
      </c>
      <c r="M4" s="5">
        <f>IF(AND(NOT(ISNUMBER(D4)),NOT(ISNUMBER(E4)),NOT(ISNUMBER(F4)),NOT(ISNUMBER(G4)),NOT(ISNUMBER(H4))),"",ROUND(-13.83+(2.2798*IF(ISNUMBER(D4),D4,0))+(-1.6826*IF(ISNUMBER(E4),E4,0))+(-1.2895*IF(ISNUMBER(H4),H4,0))+(-5.432*IF(ISNUMBER(F4),F4,0))+(-0.0447*IF(ISNUMBER(G4),G4,0)),0))</f>
        <v>-40</v>
      </c>
      <c r="N4" s="5">
        <v>-29</v>
      </c>
    </row>
    <row r="5" spans="1:14" ht="16" x14ac:dyDescent="0.2">
      <c r="A5" s="1">
        <v>1954</v>
      </c>
      <c r="B5" s="6" t="s">
        <v>14</v>
      </c>
      <c r="C5" s="6" t="s">
        <v>15</v>
      </c>
      <c r="D5" s="7">
        <v>-1.41</v>
      </c>
      <c r="E5" s="4" t="s">
        <v>13</v>
      </c>
      <c r="F5" s="7">
        <v>1.74</v>
      </c>
      <c r="G5" s="4" t="s">
        <v>13</v>
      </c>
      <c r="H5" s="4" t="s">
        <v>13</v>
      </c>
      <c r="I5" s="7">
        <v>2.5299999999999998</v>
      </c>
      <c r="J5" s="7">
        <v>0</v>
      </c>
      <c r="K5" s="4" t="s">
        <v>13</v>
      </c>
      <c r="L5" s="4" t="s">
        <v>13</v>
      </c>
      <c r="M5" s="5">
        <f t="shared" ref="M5:M23" si="0">IF(AND(NOT(ISNUMBER(D5)),NOT(ISNUMBER(E5)),NOT(ISNUMBER(F5)),NOT(ISNUMBER(G5)),NOT(ISNUMBER(H5))),"",ROUND(-13.83+(2.2798*IF(ISNUMBER(D5),D5,0))+(-1.6826*IF(ISNUMBER(E5),E5,0))+(-1.2895*IF(ISNUMBER(H5),H5,0))+(-5.432*IF(ISNUMBER(F5),F5,0))+(-0.0447*IF(ISNUMBER(G5),G5,0)),0))</f>
        <v>-26</v>
      </c>
      <c r="N5" s="5">
        <v>-18</v>
      </c>
    </row>
    <row r="6" spans="1:14" ht="16" x14ac:dyDescent="0.2">
      <c r="A6" s="1">
        <v>1958</v>
      </c>
      <c r="B6" s="2" t="s">
        <v>14</v>
      </c>
      <c r="C6" s="2" t="s">
        <v>16</v>
      </c>
      <c r="D6" s="3">
        <v>4.53</v>
      </c>
      <c r="E6" s="3">
        <v>1.4</v>
      </c>
      <c r="F6" s="3">
        <v>1.7</v>
      </c>
      <c r="G6" s="4" t="s">
        <v>13</v>
      </c>
      <c r="H6" s="4" t="s">
        <v>13</v>
      </c>
      <c r="I6" s="3">
        <v>5.24</v>
      </c>
      <c r="J6" s="3">
        <v>1.61</v>
      </c>
      <c r="K6" s="4" t="s">
        <v>13</v>
      </c>
      <c r="L6" s="4" t="s">
        <v>13</v>
      </c>
      <c r="M6" s="5">
        <f t="shared" si="0"/>
        <v>-15</v>
      </c>
      <c r="N6" s="5">
        <v>-48</v>
      </c>
    </row>
    <row r="7" spans="1:14" ht="16" x14ac:dyDescent="0.2">
      <c r="A7" s="1">
        <v>1962</v>
      </c>
      <c r="B7" s="6" t="s">
        <v>17</v>
      </c>
      <c r="C7" s="6" t="s">
        <v>18</v>
      </c>
      <c r="D7" s="7">
        <v>0.98</v>
      </c>
      <c r="E7" s="7">
        <v>0.44</v>
      </c>
      <c r="F7" s="7">
        <v>5.38</v>
      </c>
      <c r="G7" s="4" t="s">
        <v>13</v>
      </c>
      <c r="H7" s="4" t="s">
        <v>13</v>
      </c>
      <c r="I7" s="7">
        <v>0</v>
      </c>
      <c r="J7" s="7">
        <v>-0.31</v>
      </c>
      <c r="K7" s="4" t="s">
        <v>13</v>
      </c>
      <c r="L7" s="7">
        <v>8.2200000000000006</v>
      </c>
      <c r="M7" s="5">
        <f t="shared" si="0"/>
        <v>-42</v>
      </c>
      <c r="N7" s="5">
        <v>-4</v>
      </c>
    </row>
    <row r="8" spans="1:14" ht="16" x14ac:dyDescent="0.2">
      <c r="A8" s="1">
        <v>1966</v>
      </c>
      <c r="B8" s="2" t="s">
        <v>19</v>
      </c>
      <c r="C8" s="2" t="s">
        <v>20</v>
      </c>
      <c r="D8" s="3">
        <v>8.57</v>
      </c>
      <c r="E8" s="3">
        <v>3.08</v>
      </c>
      <c r="F8" s="3">
        <v>6.51</v>
      </c>
      <c r="G8" s="4" t="s">
        <v>13</v>
      </c>
      <c r="H8" s="4" t="s">
        <v>13</v>
      </c>
      <c r="I8" s="3">
        <v>0.43</v>
      </c>
      <c r="J8" s="3">
        <v>4.7</v>
      </c>
      <c r="K8" s="4" t="s">
        <v>13</v>
      </c>
      <c r="L8" s="3">
        <v>9.7100000000000009</v>
      </c>
      <c r="M8" s="5">
        <f t="shared" si="0"/>
        <v>-35</v>
      </c>
      <c r="N8" s="5">
        <v>-47</v>
      </c>
    </row>
    <row r="9" spans="1:14" ht="16" x14ac:dyDescent="0.2">
      <c r="A9" s="1">
        <v>1970</v>
      </c>
      <c r="B9" s="6" t="s">
        <v>21</v>
      </c>
      <c r="C9" s="6" t="s">
        <v>22</v>
      </c>
      <c r="D9" s="7">
        <v>9.42</v>
      </c>
      <c r="E9" s="7">
        <v>6.15</v>
      </c>
      <c r="F9" s="7">
        <v>0.99</v>
      </c>
      <c r="G9" s="8">
        <v>133</v>
      </c>
      <c r="H9" s="4" t="s">
        <v>13</v>
      </c>
      <c r="I9" s="7">
        <v>7.92</v>
      </c>
      <c r="J9" s="7">
        <v>6</v>
      </c>
      <c r="K9" s="4" t="s">
        <v>13</v>
      </c>
      <c r="L9" s="7">
        <v>7.65</v>
      </c>
      <c r="M9" s="5">
        <f t="shared" si="0"/>
        <v>-14</v>
      </c>
      <c r="N9" s="5">
        <v>-12</v>
      </c>
    </row>
    <row r="10" spans="1:14" ht="16" x14ac:dyDescent="0.2">
      <c r="A10" s="1">
        <v>1974</v>
      </c>
      <c r="B10" s="2" t="s">
        <v>23</v>
      </c>
      <c r="C10" s="2" t="s">
        <v>24</v>
      </c>
      <c r="D10" s="3">
        <v>27.35</v>
      </c>
      <c r="E10" s="3">
        <v>39.01</v>
      </c>
      <c r="F10" s="3">
        <v>1.1100000000000001</v>
      </c>
      <c r="G10" s="9">
        <v>141</v>
      </c>
      <c r="H10" s="4" t="s">
        <v>13</v>
      </c>
      <c r="I10" s="3">
        <v>23.21</v>
      </c>
      <c r="J10" s="3">
        <v>34.200000000000003</v>
      </c>
      <c r="K10" s="4" t="s">
        <v>13</v>
      </c>
      <c r="L10" s="3">
        <v>-0.05</v>
      </c>
      <c r="M10" s="5">
        <f t="shared" si="0"/>
        <v>-29</v>
      </c>
      <c r="N10" s="5">
        <v>-48</v>
      </c>
    </row>
    <row r="11" spans="1:14" ht="16" x14ac:dyDescent="0.2">
      <c r="A11" s="1">
        <v>1978</v>
      </c>
      <c r="B11" s="6" t="s">
        <v>25</v>
      </c>
      <c r="C11" s="6" t="s">
        <v>26</v>
      </c>
      <c r="D11" s="7">
        <v>16.12</v>
      </c>
      <c r="E11" s="7">
        <v>12.47</v>
      </c>
      <c r="F11" s="7">
        <v>5.94</v>
      </c>
      <c r="G11" s="8">
        <v>-100</v>
      </c>
      <c r="H11" s="7">
        <v>-7.8</v>
      </c>
      <c r="I11" s="7">
        <v>13.79</v>
      </c>
      <c r="J11" s="7">
        <v>13.07</v>
      </c>
      <c r="K11" s="4" t="s">
        <v>13</v>
      </c>
      <c r="L11" s="7">
        <v>8.34</v>
      </c>
      <c r="M11" s="5">
        <f t="shared" si="0"/>
        <v>-16</v>
      </c>
      <c r="N11" s="5">
        <v>-15</v>
      </c>
    </row>
    <row r="12" spans="1:14" ht="16" x14ac:dyDescent="0.2">
      <c r="A12" s="1">
        <v>1982</v>
      </c>
      <c r="B12" s="2" t="s">
        <v>27</v>
      </c>
      <c r="C12" s="2" t="s">
        <v>28</v>
      </c>
      <c r="D12" s="3">
        <v>6.62</v>
      </c>
      <c r="E12" s="3">
        <v>6.83</v>
      </c>
      <c r="F12" s="3">
        <v>0.03</v>
      </c>
      <c r="G12" s="9">
        <v>284</v>
      </c>
      <c r="H12" s="3">
        <v>6.5</v>
      </c>
      <c r="I12" s="3">
        <v>24.52</v>
      </c>
      <c r="J12" s="3">
        <v>4.2699999999999996</v>
      </c>
      <c r="K12" s="4" t="s">
        <v>13</v>
      </c>
      <c r="L12" s="3">
        <v>3.85</v>
      </c>
      <c r="M12" s="5">
        <f t="shared" si="0"/>
        <v>-31</v>
      </c>
      <c r="N12" s="5">
        <v>-26</v>
      </c>
    </row>
    <row r="13" spans="1:14" ht="16" x14ac:dyDescent="0.2">
      <c r="A13" s="1">
        <v>1986</v>
      </c>
      <c r="B13" s="6" t="s">
        <v>27</v>
      </c>
      <c r="C13" s="6" t="s">
        <v>29</v>
      </c>
      <c r="D13" s="7">
        <v>5.04</v>
      </c>
      <c r="E13" s="7">
        <v>-17.45</v>
      </c>
      <c r="F13" s="7">
        <v>3.56</v>
      </c>
      <c r="G13" s="8">
        <v>40</v>
      </c>
      <c r="H13" s="7">
        <v>1.9</v>
      </c>
      <c r="I13" s="7">
        <v>-2.82</v>
      </c>
      <c r="J13" s="7">
        <v>-3.48</v>
      </c>
      <c r="K13" s="4" t="s">
        <v>13</v>
      </c>
      <c r="L13" s="7">
        <v>6.26</v>
      </c>
      <c r="M13" s="5">
        <f t="shared" si="0"/>
        <v>3</v>
      </c>
      <c r="N13" s="5">
        <v>-5</v>
      </c>
    </row>
    <row r="14" spans="1:14" ht="16" x14ac:dyDescent="0.2">
      <c r="A14" s="1">
        <v>1990</v>
      </c>
      <c r="B14" s="2" t="s">
        <v>30</v>
      </c>
      <c r="C14" s="2" t="s">
        <v>31</v>
      </c>
      <c r="D14" s="3">
        <v>9.4700000000000006</v>
      </c>
      <c r="E14" s="3">
        <v>22.03</v>
      </c>
      <c r="F14" s="3">
        <v>1.7</v>
      </c>
      <c r="G14" s="9">
        <v>107</v>
      </c>
      <c r="H14" s="3">
        <v>-31.5</v>
      </c>
      <c r="I14" s="3">
        <v>3.01</v>
      </c>
      <c r="J14" s="3">
        <v>9.0299999999999994</v>
      </c>
      <c r="K14" s="4" t="s">
        <v>13</v>
      </c>
      <c r="L14" s="3">
        <v>1.79</v>
      </c>
      <c r="M14" s="5">
        <f t="shared" si="0"/>
        <v>-3</v>
      </c>
      <c r="N14" s="5">
        <v>-8</v>
      </c>
    </row>
    <row r="15" spans="1:14" ht="16" x14ac:dyDescent="0.2">
      <c r="A15" s="1">
        <v>1994</v>
      </c>
      <c r="B15" s="6" t="s">
        <v>32</v>
      </c>
      <c r="C15" s="6" t="s">
        <v>33</v>
      </c>
      <c r="D15" s="7">
        <v>4.08</v>
      </c>
      <c r="E15" s="7">
        <v>1.34</v>
      </c>
      <c r="F15" s="7">
        <v>3.38</v>
      </c>
      <c r="G15" s="8">
        <v>-15</v>
      </c>
      <c r="H15" s="7">
        <v>6.1</v>
      </c>
      <c r="I15" s="7">
        <v>2.95</v>
      </c>
      <c r="J15" s="7">
        <v>2.11</v>
      </c>
      <c r="K15" s="7">
        <v>14.85</v>
      </c>
      <c r="L15" s="7">
        <v>4.42</v>
      </c>
      <c r="M15" s="5">
        <f t="shared" si="0"/>
        <v>-32</v>
      </c>
      <c r="N15" s="5">
        <v>-54</v>
      </c>
    </row>
    <row r="16" spans="1:14" ht="16" x14ac:dyDescent="0.2">
      <c r="A16" s="1">
        <v>1998</v>
      </c>
      <c r="B16" s="2" t="s">
        <v>32</v>
      </c>
      <c r="C16" s="2" t="s">
        <v>34</v>
      </c>
      <c r="D16" s="3">
        <v>3.51</v>
      </c>
      <c r="E16" s="3">
        <v>-11.74</v>
      </c>
      <c r="F16" s="3">
        <v>4.7</v>
      </c>
      <c r="G16" s="9">
        <v>-40</v>
      </c>
      <c r="H16" s="3">
        <v>-2.2999999999999998</v>
      </c>
      <c r="I16" s="3">
        <v>-5.52</v>
      </c>
      <c r="J16" s="3">
        <v>-3.5</v>
      </c>
      <c r="K16" s="3">
        <v>7.55</v>
      </c>
      <c r="L16" s="3">
        <v>8.84</v>
      </c>
      <c r="M16" s="5">
        <f t="shared" si="0"/>
        <v>-7</v>
      </c>
      <c r="N16" s="10">
        <v>5</v>
      </c>
    </row>
    <row r="17" spans="1:14" ht="16" x14ac:dyDescent="0.2">
      <c r="A17" s="1">
        <v>2002</v>
      </c>
      <c r="B17" s="6" t="s">
        <v>35</v>
      </c>
      <c r="C17" s="6" t="s">
        <v>36</v>
      </c>
      <c r="D17" s="7">
        <v>3.04</v>
      </c>
      <c r="E17" s="7">
        <v>-5.37</v>
      </c>
      <c r="F17" s="7">
        <v>1.0900000000000001</v>
      </c>
      <c r="G17" s="8">
        <v>58</v>
      </c>
      <c r="H17" s="7">
        <v>-10</v>
      </c>
      <c r="I17" s="7">
        <v>-8.0399999999999991</v>
      </c>
      <c r="J17" s="7">
        <v>-3.06</v>
      </c>
      <c r="K17" s="7">
        <v>3.78</v>
      </c>
      <c r="L17" s="7">
        <v>4.29</v>
      </c>
      <c r="M17" s="5">
        <f t="shared" si="0"/>
        <v>7</v>
      </c>
      <c r="N17" s="10">
        <v>8</v>
      </c>
    </row>
    <row r="18" spans="1:14" ht="16" x14ac:dyDescent="0.2">
      <c r="A18" s="1">
        <v>2006</v>
      </c>
      <c r="B18" s="2" t="s">
        <v>35</v>
      </c>
      <c r="C18" s="2" t="s">
        <v>37</v>
      </c>
      <c r="D18" s="3">
        <v>4.4000000000000004</v>
      </c>
      <c r="E18" s="3">
        <v>13.78</v>
      </c>
      <c r="F18" s="3">
        <v>2.81</v>
      </c>
      <c r="G18" s="9">
        <v>-10</v>
      </c>
      <c r="H18" s="3">
        <v>-0.5</v>
      </c>
      <c r="I18" s="3">
        <v>14.37</v>
      </c>
      <c r="J18" s="3">
        <v>6.99</v>
      </c>
      <c r="K18" s="3">
        <v>7.91</v>
      </c>
      <c r="L18" s="3">
        <v>5.56</v>
      </c>
      <c r="M18" s="5">
        <f t="shared" si="0"/>
        <v>-41</v>
      </c>
      <c r="N18" s="5">
        <v>-30</v>
      </c>
    </row>
    <row r="19" spans="1:14" ht="16" x14ac:dyDescent="0.2">
      <c r="A19" s="1">
        <v>2010</v>
      </c>
      <c r="B19" s="6" t="s">
        <v>38</v>
      </c>
      <c r="C19" s="6" t="s">
        <v>39</v>
      </c>
      <c r="D19" s="7">
        <v>0.72</v>
      </c>
      <c r="E19" s="7">
        <v>17.96</v>
      </c>
      <c r="F19" s="7">
        <v>1.45</v>
      </c>
      <c r="G19" s="8">
        <v>-127</v>
      </c>
      <c r="H19" s="7">
        <v>11.4</v>
      </c>
      <c r="I19" s="7">
        <v>-3.93</v>
      </c>
      <c r="J19" s="7">
        <v>10.220000000000001</v>
      </c>
      <c r="K19" s="7">
        <v>8.48</v>
      </c>
      <c r="L19" s="7">
        <v>2.86</v>
      </c>
      <c r="M19" s="5">
        <f t="shared" si="0"/>
        <v>-59</v>
      </c>
      <c r="N19" s="5">
        <v>-63</v>
      </c>
    </row>
    <row r="20" spans="1:14" ht="16" x14ac:dyDescent="0.2">
      <c r="A20" s="1">
        <v>2014</v>
      </c>
      <c r="B20" s="2" t="s">
        <v>38</v>
      </c>
      <c r="C20" s="2" t="s">
        <v>40</v>
      </c>
      <c r="D20" s="3">
        <v>3.76</v>
      </c>
      <c r="E20" s="3">
        <v>-7.29</v>
      </c>
      <c r="F20" s="3">
        <v>2.88</v>
      </c>
      <c r="G20" s="9">
        <v>-44</v>
      </c>
      <c r="H20" s="3">
        <v>9.3000000000000007</v>
      </c>
      <c r="I20" s="3">
        <v>5.13</v>
      </c>
      <c r="J20" s="3">
        <v>-0.44</v>
      </c>
      <c r="K20" s="3">
        <v>5.57</v>
      </c>
      <c r="L20" s="3">
        <v>5.75</v>
      </c>
      <c r="M20" s="5">
        <f t="shared" si="0"/>
        <v>-19</v>
      </c>
      <c r="N20" s="5">
        <v>-13</v>
      </c>
    </row>
    <row r="21" spans="1:14" ht="16" x14ac:dyDescent="0.2">
      <c r="A21" s="1">
        <v>2018</v>
      </c>
      <c r="B21" s="6" t="s">
        <v>41</v>
      </c>
      <c r="C21" s="6" t="s">
        <v>42</v>
      </c>
      <c r="D21" s="7">
        <v>2.19</v>
      </c>
      <c r="E21" s="7">
        <v>10.72</v>
      </c>
      <c r="F21" s="7">
        <v>2.57</v>
      </c>
      <c r="G21" s="8">
        <v>-45</v>
      </c>
      <c r="H21" s="7">
        <v>2.2999999999999998</v>
      </c>
      <c r="I21" s="7">
        <v>1.19</v>
      </c>
      <c r="J21" s="7">
        <v>6.78</v>
      </c>
      <c r="K21" s="7">
        <v>6.92</v>
      </c>
      <c r="L21" s="7">
        <v>5.95</v>
      </c>
      <c r="M21" s="5">
        <f t="shared" si="0"/>
        <v>-42</v>
      </c>
      <c r="N21" s="5">
        <v>-40</v>
      </c>
    </row>
    <row r="22" spans="1:14" ht="16" x14ac:dyDescent="0.2">
      <c r="A22" s="1">
        <v>2022</v>
      </c>
      <c r="B22" s="2" t="s">
        <v>43</v>
      </c>
      <c r="C22" s="2" t="s">
        <v>44</v>
      </c>
      <c r="D22" s="3">
        <v>16.07</v>
      </c>
      <c r="E22" s="3">
        <v>36.81</v>
      </c>
      <c r="F22" s="3">
        <v>3.54</v>
      </c>
      <c r="G22" s="9">
        <v>-597</v>
      </c>
      <c r="H22" s="3">
        <v>-16.899999999999999</v>
      </c>
      <c r="I22" s="3">
        <v>26.78</v>
      </c>
      <c r="J22" s="3">
        <v>25.86</v>
      </c>
      <c r="K22" s="3">
        <v>22.72</v>
      </c>
      <c r="L22" s="3">
        <v>-1.32</v>
      </c>
      <c r="M22" s="5">
        <f t="shared" si="0"/>
        <v>-10</v>
      </c>
      <c r="N22" s="5">
        <v>-9</v>
      </c>
    </row>
    <row r="23" spans="1:14" ht="16" x14ac:dyDescent="0.2">
      <c r="A23" s="1">
        <v>2026</v>
      </c>
      <c r="B23" s="6" t="s">
        <v>41</v>
      </c>
      <c r="C23" s="6" t="s">
        <v>45</v>
      </c>
      <c r="D23" s="11"/>
      <c r="E23" s="11"/>
      <c r="F23" s="11"/>
      <c r="G23" s="11"/>
      <c r="H23" s="11"/>
      <c r="I23" s="11"/>
      <c r="J23" s="11"/>
      <c r="K23" s="11"/>
      <c r="L23" s="11"/>
      <c r="M23" s="5" t="str">
        <f t="shared" si="0"/>
        <v/>
      </c>
      <c r="N23" s="12" t="s">
        <v>46</v>
      </c>
    </row>
    <row r="24" spans="1:14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ht="16" thickBo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ht="22" thickBot="1" x14ac:dyDescent="0.25">
      <c r="A26" s="49" t="s">
        <v>54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</row>
    <row r="27" spans="1:14" x14ac:dyDescent="0.2">
      <c r="A27" s="46" t="s">
        <v>58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</row>
    <row r="28" spans="1:14" x14ac:dyDescent="0.2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</row>
    <row r="29" spans="1:14" x14ac:dyDescent="0.2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</row>
    <row r="30" spans="1:14" x14ac:dyDescent="0.2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1:14" x14ac:dyDescent="0.2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</row>
    <row r="32" spans="1:14" x14ac:dyDescent="0.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x14ac:dyDescent="0.2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 spans="1:14" x14ac:dyDescent="0.2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 spans="1:14" x14ac:dyDescent="0.2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x14ac:dyDescent="0.2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</row>
    <row r="37" spans="1:14" x14ac:dyDescent="0.2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</row>
    <row r="38" spans="1:14" x14ac:dyDescent="0.2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4" x14ac:dyDescent="0.2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14" x14ac:dyDescent="0.2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  <row r="41" spans="1:14" x14ac:dyDescent="0.2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</row>
    <row r="42" spans="1:14" x14ac:dyDescent="0.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spans="1:14" x14ac:dyDescent="0.2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</row>
    <row r="44" spans="1:14" x14ac:dyDescent="0.2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spans="1:14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 spans="1:14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spans="1:14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</row>
    <row r="48" spans="1:14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 spans="1:14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14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</sheetData>
  <mergeCells count="4">
    <mergeCell ref="A1:N1"/>
    <mergeCell ref="A2:N2"/>
    <mergeCell ref="A27:N52"/>
    <mergeCell ref="A26:N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U55"/>
  <sheetViews>
    <sheetView tabSelected="1" workbookViewId="0">
      <pane ySplit="1" topLeftCell="A2" activePane="bottomLeft" state="frozen"/>
      <selection pane="bottomLeft" sqref="A1:I1"/>
    </sheetView>
  </sheetViews>
  <sheetFormatPr baseColWidth="10" defaultColWidth="8.83203125" defaultRowHeight="15" x14ac:dyDescent="0.2"/>
  <cols>
    <col min="1" max="1" width="11" style="15" customWidth="1"/>
    <col min="2" max="2" width="17" style="15" customWidth="1"/>
    <col min="3" max="3" width="21.1640625" style="15" bestFit="1" customWidth="1"/>
    <col min="4" max="4" width="13.83203125" style="15" bestFit="1" customWidth="1"/>
    <col min="5" max="5" width="17.1640625" style="15" bestFit="1" customWidth="1"/>
    <col min="6" max="6" width="19.1640625" style="15" bestFit="1" customWidth="1"/>
    <col min="7" max="7" width="11" style="15" bestFit="1" customWidth="1"/>
    <col min="8" max="8" width="11.33203125" style="15" bestFit="1" customWidth="1"/>
    <col min="9" max="9" width="14" style="15" bestFit="1" customWidth="1"/>
    <col min="10" max="16384" width="8.83203125" style="15"/>
  </cols>
  <sheetData>
    <row r="1" spans="1:16375" ht="31" x14ac:dyDescent="0.2">
      <c r="A1" s="28" t="s">
        <v>0</v>
      </c>
      <c r="B1" s="29"/>
      <c r="C1" s="29"/>
      <c r="D1" s="29"/>
      <c r="E1" s="29"/>
      <c r="F1" s="29"/>
      <c r="G1" s="29"/>
      <c r="H1" s="29"/>
      <c r="I1" s="30"/>
    </row>
    <row r="2" spans="1:16375" ht="21" customHeight="1" thickBot="1" x14ac:dyDescent="0.25">
      <c r="A2" s="31" t="s">
        <v>57</v>
      </c>
      <c r="B2" s="32"/>
      <c r="C2" s="32"/>
      <c r="D2" s="32"/>
      <c r="E2" s="32"/>
      <c r="F2" s="32"/>
      <c r="G2" s="32"/>
      <c r="H2" s="32"/>
      <c r="I2" s="33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</row>
    <row r="3" spans="1:16375" ht="34" x14ac:dyDescent="0.2">
      <c r="A3" s="17" t="s">
        <v>2</v>
      </c>
      <c r="B3" s="17" t="s">
        <v>3</v>
      </c>
      <c r="C3" s="17" t="s">
        <v>4</v>
      </c>
      <c r="D3" s="17" t="s">
        <v>47</v>
      </c>
      <c r="E3" s="17" t="s">
        <v>48</v>
      </c>
      <c r="F3" s="17" t="s">
        <v>49</v>
      </c>
      <c r="G3" s="19" t="s">
        <v>56</v>
      </c>
      <c r="H3" s="24" t="s">
        <v>60</v>
      </c>
      <c r="I3" s="17" t="s">
        <v>10</v>
      </c>
    </row>
    <row r="4" spans="1:16375" ht="16" x14ac:dyDescent="0.2">
      <c r="A4" s="1">
        <v>1950</v>
      </c>
      <c r="B4" s="2" t="s">
        <v>11</v>
      </c>
      <c r="C4" s="2" t="s">
        <v>12</v>
      </c>
      <c r="D4" s="3">
        <v>5.97</v>
      </c>
      <c r="E4" s="9">
        <v>-0.5</v>
      </c>
      <c r="F4" s="13">
        <v>2209</v>
      </c>
      <c r="G4" s="20"/>
      <c r="H4" s="5">
        <f>IF(AND(NOT(ISNUMBER(D4)),NOT(ISNUMBER(E4)),NOT(ISNUMBER(F4)),NOT(ISNUMBER(G4))),"",ROUND(-29.69+(0.32*IF(ISNUMBER(D4),D4,0))+(1.57*IF(ISNUMBER(E4),E4,0))+(1.83*IF(ISNUMBER(F4),F4/1000,0))+(0.01*IF(ISNUMBER(G4),G4,0)),0))</f>
        <v>-25</v>
      </c>
      <c r="I4" s="5">
        <v>-29</v>
      </c>
    </row>
    <row r="5" spans="1:16375" ht="16" x14ac:dyDescent="0.2">
      <c r="A5" s="1">
        <v>1954</v>
      </c>
      <c r="B5" s="6" t="s">
        <v>14</v>
      </c>
      <c r="C5" s="6" t="s">
        <v>15</v>
      </c>
      <c r="D5" s="7">
        <v>1.74</v>
      </c>
      <c r="E5" s="8">
        <v>3.1</v>
      </c>
      <c r="F5" s="14">
        <v>-1397</v>
      </c>
      <c r="G5" s="20"/>
      <c r="H5" s="5">
        <f t="shared" ref="H5:H23" si="0">IF(AND(NOT(ISNUMBER(D5)),NOT(ISNUMBER(E5)),NOT(ISNUMBER(F5)),NOT(ISNUMBER(G5))),"",ROUND(-29.69+(0.32*IF(ISNUMBER(D5),D5,0))+(1.57*IF(ISNUMBER(E5),E5,0))+(1.83*IF(ISNUMBER(F5),F5/1000,0))+(0.01*IF(ISNUMBER(G5),G5,0)),0))</f>
        <v>-27</v>
      </c>
      <c r="I5" s="5">
        <v>-18</v>
      </c>
    </row>
    <row r="6" spans="1:16375" ht="16" x14ac:dyDescent="0.2">
      <c r="A6" s="1">
        <v>1958</v>
      </c>
      <c r="B6" s="2" t="s">
        <v>14</v>
      </c>
      <c r="C6" s="2" t="s">
        <v>16</v>
      </c>
      <c r="D6" s="3">
        <v>1.7</v>
      </c>
      <c r="E6" s="9">
        <v>2.8</v>
      </c>
      <c r="F6" s="13">
        <v>-1612</v>
      </c>
      <c r="G6" s="20"/>
      <c r="H6" s="5">
        <f t="shared" si="0"/>
        <v>-28</v>
      </c>
      <c r="I6" s="5">
        <v>-48</v>
      </c>
    </row>
    <row r="7" spans="1:16375" ht="16" x14ac:dyDescent="0.2">
      <c r="A7" s="1">
        <v>1962</v>
      </c>
      <c r="B7" s="6" t="s">
        <v>17</v>
      </c>
      <c r="C7" s="6" t="s">
        <v>18</v>
      </c>
      <c r="D7" s="7">
        <v>5.38</v>
      </c>
      <c r="E7" s="8">
        <v>-1.5</v>
      </c>
      <c r="F7" s="14">
        <v>2484</v>
      </c>
      <c r="G7" s="20"/>
      <c r="H7" s="5">
        <f t="shared" si="0"/>
        <v>-26</v>
      </c>
      <c r="I7" s="5">
        <v>-4</v>
      </c>
    </row>
    <row r="8" spans="1:16375" ht="16" x14ac:dyDescent="0.2">
      <c r="A8" s="1">
        <v>1966</v>
      </c>
      <c r="B8" s="2" t="s">
        <v>19</v>
      </c>
      <c r="C8" s="2" t="s">
        <v>20</v>
      </c>
      <c r="D8" s="3">
        <v>6.51</v>
      </c>
      <c r="E8" s="9">
        <v>-1.4</v>
      </c>
      <c r="F8" s="13">
        <v>5054</v>
      </c>
      <c r="G8" s="20"/>
      <c r="H8" s="5">
        <f t="shared" si="0"/>
        <v>-21</v>
      </c>
      <c r="I8" s="5">
        <v>-47</v>
      </c>
    </row>
    <row r="9" spans="1:16375" ht="16" x14ac:dyDescent="0.2">
      <c r="A9" s="1">
        <v>1970</v>
      </c>
      <c r="B9" s="6" t="s">
        <v>21</v>
      </c>
      <c r="C9" s="6" t="s">
        <v>22</v>
      </c>
      <c r="D9" s="7">
        <v>0.99</v>
      </c>
      <c r="E9" s="8">
        <v>2.1</v>
      </c>
      <c r="F9" s="14">
        <v>822</v>
      </c>
      <c r="G9" s="21">
        <v>133</v>
      </c>
      <c r="H9" s="5">
        <f t="shared" si="0"/>
        <v>-23</v>
      </c>
      <c r="I9" s="5">
        <v>-12</v>
      </c>
    </row>
    <row r="10" spans="1:16375" ht="16" x14ac:dyDescent="0.2">
      <c r="A10" s="1">
        <v>1974</v>
      </c>
      <c r="B10" s="2" t="s">
        <v>23</v>
      </c>
      <c r="C10" s="2" t="s">
        <v>24</v>
      </c>
      <c r="D10" s="3">
        <v>1.1100000000000001</v>
      </c>
      <c r="E10" s="9">
        <v>1</v>
      </c>
      <c r="F10" s="13">
        <v>2616</v>
      </c>
      <c r="G10" s="22">
        <v>141</v>
      </c>
      <c r="H10" s="5">
        <f t="shared" si="0"/>
        <v>-22</v>
      </c>
      <c r="I10" s="5">
        <v>-48</v>
      </c>
    </row>
    <row r="11" spans="1:16375" ht="16" x14ac:dyDescent="0.2">
      <c r="A11" s="1">
        <v>1978</v>
      </c>
      <c r="B11" s="6" t="s">
        <v>25</v>
      </c>
      <c r="C11" s="6" t="s">
        <v>26</v>
      </c>
      <c r="D11" s="7">
        <v>5.94</v>
      </c>
      <c r="E11" s="8">
        <v>-1.8</v>
      </c>
      <c r="F11" s="14">
        <v>6968</v>
      </c>
      <c r="G11" s="21">
        <v>-100</v>
      </c>
      <c r="H11" s="5">
        <f t="shared" si="0"/>
        <v>-19</v>
      </c>
      <c r="I11" s="5">
        <v>-15</v>
      </c>
    </row>
    <row r="12" spans="1:16375" ht="16" x14ac:dyDescent="0.2">
      <c r="A12" s="1">
        <v>1982</v>
      </c>
      <c r="B12" s="2" t="s">
        <v>27</v>
      </c>
      <c r="C12" s="2" t="s">
        <v>28</v>
      </c>
      <c r="D12" s="3">
        <v>0.03</v>
      </c>
      <c r="E12" s="9">
        <v>3</v>
      </c>
      <c r="F12" s="13">
        <v>-2198</v>
      </c>
      <c r="G12" s="22">
        <v>284</v>
      </c>
      <c r="H12" s="5">
        <f t="shared" si="0"/>
        <v>-26</v>
      </c>
      <c r="I12" s="5">
        <v>-26</v>
      </c>
    </row>
    <row r="13" spans="1:16375" ht="16" x14ac:dyDescent="0.2">
      <c r="A13" s="1">
        <v>1986</v>
      </c>
      <c r="B13" s="6" t="s">
        <v>27</v>
      </c>
      <c r="C13" s="6" t="s">
        <v>29</v>
      </c>
      <c r="D13" s="7">
        <v>3.56</v>
      </c>
      <c r="E13" s="8">
        <v>-0.2</v>
      </c>
      <c r="F13" s="14">
        <v>3618</v>
      </c>
      <c r="G13" s="21">
        <v>40</v>
      </c>
      <c r="H13" s="5">
        <f t="shared" si="0"/>
        <v>-22</v>
      </c>
      <c r="I13" s="5">
        <v>-5</v>
      </c>
    </row>
    <row r="14" spans="1:16375" ht="16" x14ac:dyDescent="0.2">
      <c r="A14" s="1">
        <v>1990</v>
      </c>
      <c r="B14" s="2" t="s">
        <v>30</v>
      </c>
      <c r="C14" s="2" t="s">
        <v>31</v>
      </c>
      <c r="D14" s="3">
        <v>1.7</v>
      </c>
      <c r="E14" s="9">
        <v>0.7</v>
      </c>
      <c r="F14" s="13">
        <v>1950</v>
      </c>
      <c r="G14" s="22">
        <v>107</v>
      </c>
      <c r="H14" s="5">
        <f t="shared" si="0"/>
        <v>-23</v>
      </c>
      <c r="I14" s="5">
        <v>-8</v>
      </c>
    </row>
    <row r="15" spans="1:16375" ht="16" x14ac:dyDescent="0.2">
      <c r="A15" s="1">
        <v>1994</v>
      </c>
      <c r="B15" s="6" t="s">
        <v>32</v>
      </c>
      <c r="C15" s="6" t="s">
        <v>33</v>
      </c>
      <c r="D15" s="7">
        <v>3.38</v>
      </c>
      <c r="E15" s="8">
        <v>-1.3</v>
      </c>
      <c r="F15" s="14">
        <v>5410</v>
      </c>
      <c r="G15" s="21">
        <v>-15</v>
      </c>
      <c r="H15" s="5">
        <f t="shared" si="0"/>
        <v>-21</v>
      </c>
      <c r="I15" s="5">
        <v>-54</v>
      </c>
    </row>
    <row r="16" spans="1:16375" ht="16" x14ac:dyDescent="0.2">
      <c r="A16" s="1">
        <v>1998</v>
      </c>
      <c r="B16" s="2" t="s">
        <v>32</v>
      </c>
      <c r="C16" s="2" t="s">
        <v>34</v>
      </c>
      <c r="D16" s="3">
        <v>4.7</v>
      </c>
      <c r="E16" s="9">
        <v>-0.7</v>
      </c>
      <c r="F16" s="13">
        <v>5276</v>
      </c>
      <c r="G16" s="22">
        <v>-40</v>
      </c>
      <c r="H16" s="5">
        <f t="shared" si="0"/>
        <v>-20</v>
      </c>
      <c r="I16" s="10">
        <v>5</v>
      </c>
    </row>
    <row r="17" spans="1:9" ht="16" x14ac:dyDescent="0.2">
      <c r="A17" s="1">
        <v>2002</v>
      </c>
      <c r="B17" s="6" t="s">
        <v>35</v>
      </c>
      <c r="C17" s="6" t="s">
        <v>36</v>
      </c>
      <c r="D17" s="7">
        <v>1.0900000000000001</v>
      </c>
      <c r="E17" s="8">
        <v>1.5</v>
      </c>
      <c r="F17" s="14">
        <v>-2171</v>
      </c>
      <c r="G17" s="21">
        <v>58</v>
      </c>
      <c r="H17" s="5">
        <f t="shared" si="0"/>
        <v>-30</v>
      </c>
      <c r="I17" s="10">
        <v>8</v>
      </c>
    </row>
    <row r="18" spans="1:9" ht="16" x14ac:dyDescent="0.2">
      <c r="A18" s="1">
        <v>2006</v>
      </c>
      <c r="B18" s="2" t="s">
        <v>35</v>
      </c>
      <c r="C18" s="2" t="s">
        <v>37</v>
      </c>
      <c r="D18" s="3">
        <v>2.81</v>
      </c>
      <c r="E18" s="9">
        <v>-1</v>
      </c>
      <c r="F18" s="13">
        <v>3809</v>
      </c>
      <c r="G18" s="22">
        <v>-10</v>
      </c>
      <c r="H18" s="5">
        <f t="shared" si="0"/>
        <v>-23</v>
      </c>
      <c r="I18" s="5">
        <v>-30</v>
      </c>
    </row>
    <row r="19" spans="1:9" ht="16" x14ac:dyDescent="0.2">
      <c r="A19" s="1">
        <v>2010</v>
      </c>
      <c r="B19" s="6" t="s">
        <v>38</v>
      </c>
      <c r="C19" s="6" t="s">
        <v>39</v>
      </c>
      <c r="D19" s="7">
        <v>1.45</v>
      </c>
      <c r="E19" s="8">
        <v>1.1000000000000001</v>
      </c>
      <c r="F19" s="14">
        <v>-2698</v>
      </c>
      <c r="G19" s="21">
        <v>-127</v>
      </c>
      <c r="H19" s="5">
        <f t="shared" si="0"/>
        <v>-34</v>
      </c>
      <c r="I19" s="5">
        <v>-63</v>
      </c>
    </row>
    <row r="20" spans="1:9" ht="16" x14ac:dyDescent="0.2">
      <c r="A20" s="1">
        <v>2014</v>
      </c>
      <c r="B20" s="2" t="s">
        <v>38</v>
      </c>
      <c r="C20" s="2" t="s">
        <v>40</v>
      </c>
      <c r="D20" s="3">
        <v>2.88</v>
      </c>
      <c r="E20" s="9">
        <v>-2</v>
      </c>
      <c r="F20" s="13">
        <v>4252</v>
      </c>
      <c r="G20" s="22">
        <v>-44</v>
      </c>
      <c r="H20" s="5">
        <f t="shared" si="0"/>
        <v>-25</v>
      </c>
      <c r="I20" s="5">
        <v>-13</v>
      </c>
    </row>
    <row r="21" spans="1:9" ht="16" x14ac:dyDescent="0.2">
      <c r="A21" s="1">
        <v>2018</v>
      </c>
      <c r="B21" s="6" t="s">
        <v>41</v>
      </c>
      <c r="C21" s="6" t="s">
        <v>42</v>
      </c>
      <c r="D21" s="7">
        <v>2.57</v>
      </c>
      <c r="E21" s="8">
        <v>-0.8</v>
      </c>
      <c r="F21" s="14">
        <v>3681</v>
      </c>
      <c r="G21" s="21">
        <v>-45</v>
      </c>
      <c r="H21" s="5">
        <f t="shared" si="0"/>
        <v>-24</v>
      </c>
      <c r="I21" s="5">
        <v>-40</v>
      </c>
    </row>
    <row r="22" spans="1:9" ht="16" x14ac:dyDescent="0.2">
      <c r="A22" s="1">
        <v>2022</v>
      </c>
      <c r="B22" s="2" t="s">
        <v>43</v>
      </c>
      <c r="C22" s="2" t="s">
        <v>44</v>
      </c>
      <c r="D22" s="3">
        <v>3.54</v>
      </c>
      <c r="E22" s="9">
        <v>-2.6</v>
      </c>
      <c r="F22" s="13">
        <v>10559</v>
      </c>
      <c r="G22" s="22">
        <v>-597</v>
      </c>
      <c r="H22" s="5">
        <f t="shared" si="0"/>
        <v>-19</v>
      </c>
      <c r="I22" s="5">
        <v>-9</v>
      </c>
    </row>
    <row r="23" spans="1:9" ht="16" x14ac:dyDescent="0.2">
      <c r="A23" s="1">
        <v>2026</v>
      </c>
      <c r="B23" s="25" t="s">
        <v>41</v>
      </c>
      <c r="C23" s="25" t="s">
        <v>45</v>
      </c>
      <c r="D23" s="26"/>
      <c r="E23" s="26"/>
      <c r="F23" s="26"/>
      <c r="G23" s="26"/>
      <c r="H23" s="5" t="str">
        <f t="shared" si="0"/>
        <v/>
      </c>
      <c r="I23" s="5" t="s">
        <v>46</v>
      </c>
    </row>
    <row r="24" spans="1:9" x14ac:dyDescent="0.2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2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2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22" thickBot="1" x14ac:dyDescent="0.25">
      <c r="A27" s="34" t="s">
        <v>54</v>
      </c>
      <c r="B27" s="35"/>
      <c r="C27" s="35"/>
      <c r="D27" s="35"/>
      <c r="E27" s="35"/>
      <c r="F27" s="35"/>
      <c r="G27" s="35"/>
      <c r="H27" s="35"/>
      <c r="I27" s="36"/>
    </row>
    <row r="28" spans="1:9" x14ac:dyDescent="0.2">
      <c r="A28" s="37" t="s">
        <v>59</v>
      </c>
      <c r="B28" s="38"/>
      <c r="C28" s="38"/>
      <c r="D28" s="38"/>
      <c r="E28" s="38"/>
      <c r="F28" s="38"/>
      <c r="G28" s="38"/>
      <c r="H28" s="38"/>
      <c r="I28" s="38"/>
    </row>
    <row r="29" spans="1:9" x14ac:dyDescent="0.2">
      <c r="A29" s="39"/>
      <c r="B29" s="39"/>
      <c r="C29" s="39"/>
      <c r="D29" s="39"/>
      <c r="E29" s="39"/>
      <c r="F29" s="39"/>
      <c r="G29" s="39"/>
      <c r="H29" s="39"/>
      <c r="I29" s="39"/>
    </row>
    <row r="30" spans="1:9" x14ac:dyDescent="0.2">
      <c r="A30" s="39"/>
      <c r="B30" s="39"/>
      <c r="C30" s="39"/>
      <c r="D30" s="39"/>
      <c r="E30" s="39"/>
      <c r="F30" s="39"/>
      <c r="G30" s="39"/>
      <c r="H30" s="39"/>
      <c r="I30" s="39"/>
    </row>
    <row r="31" spans="1:9" x14ac:dyDescent="0.2">
      <c r="A31" s="39"/>
      <c r="B31" s="39"/>
      <c r="C31" s="39"/>
      <c r="D31" s="39"/>
      <c r="E31" s="39"/>
      <c r="F31" s="39"/>
      <c r="G31" s="39"/>
      <c r="H31" s="39"/>
      <c r="I31" s="39"/>
    </row>
    <row r="32" spans="1:9" x14ac:dyDescent="0.2">
      <c r="A32" s="39"/>
      <c r="B32" s="39"/>
      <c r="C32" s="39"/>
      <c r="D32" s="39"/>
      <c r="E32" s="39"/>
      <c r="F32" s="39"/>
      <c r="G32" s="39"/>
      <c r="H32" s="39"/>
      <c r="I32" s="39"/>
    </row>
    <row r="33" spans="1:9" x14ac:dyDescent="0.2">
      <c r="A33" s="39"/>
      <c r="B33" s="39"/>
      <c r="C33" s="39"/>
      <c r="D33" s="39"/>
      <c r="E33" s="39"/>
      <c r="F33" s="39"/>
      <c r="G33" s="39"/>
      <c r="H33" s="39"/>
      <c r="I33" s="39"/>
    </row>
    <row r="34" spans="1:9" x14ac:dyDescent="0.2">
      <c r="A34" s="39"/>
      <c r="B34" s="39"/>
      <c r="C34" s="39"/>
      <c r="D34" s="39"/>
      <c r="E34" s="39"/>
      <c r="F34" s="39"/>
      <c r="G34" s="39"/>
      <c r="H34" s="39"/>
      <c r="I34" s="39"/>
    </row>
    <row r="35" spans="1:9" x14ac:dyDescent="0.2">
      <c r="A35" s="39"/>
      <c r="B35" s="39"/>
      <c r="C35" s="39"/>
      <c r="D35" s="39"/>
      <c r="E35" s="39"/>
      <c r="F35" s="39"/>
      <c r="G35" s="39"/>
      <c r="H35" s="39"/>
      <c r="I35" s="39"/>
    </row>
    <row r="36" spans="1:9" x14ac:dyDescent="0.2">
      <c r="A36" s="39"/>
      <c r="B36" s="39"/>
      <c r="C36" s="39"/>
      <c r="D36" s="39"/>
      <c r="E36" s="39"/>
      <c r="F36" s="39"/>
      <c r="G36" s="39"/>
      <c r="H36" s="39"/>
      <c r="I36" s="39"/>
    </row>
    <row r="37" spans="1:9" x14ac:dyDescent="0.2">
      <c r="A37" s="39"/>
      <c r="B37" s="39"/>
      <c r="C37" s="39"/>
      <c r="D37" s="39"/>
      <c r="E37" s="39"/>
      <c r="F37" s="39"/>
      <c r="G37" s="39"/>
      <c r="H37" s="39"/>
      <c r="I37" s="39"/>
    </row>
    <row r="38" spans="1:9" x14ac:dyDescent="0.2">
      <c r="A38" s="39"/>
      <c r="B38" s="39"/>
      <c r="C38" s="39"/>
      <c r="D38" s="39"/>
      <c r="E38" s="39"/>
      <c r="F38" s="39"/>
      <c r="G38" s="39"/>
      <c r="H38" s="39"/>
      <c r="I38" s="39"/>
    </row>
    <row r="39" spans="1:9" x14ac:dyDescent="0.2">
      <c r="A39" s="39"/>
      <c r="B39" s="39"/>
      <c r="C39" s="39"/>
      <c r="D39" s="39"/>
      <c r="E39" s="39"/>
      <c r="F39" s="39"/>
      <c r="G39" s="39"/>
      <c r="H39" s="39"/>
      <c r="I39" s="39"/>
    </row>
    <row r="40" spans="1:9" x14ac:dyDescent="0.2">
      <c r="A40" s="39"/>
      <c r="B40" s="39"/>
      <c r="C40" s="39"/>
      <c r="D40" s="39"/>
      <c r="E40" s="39"/>
      <c r="F40" s="39"/>
      <c r="G40" s="39"/>
      <c r="H40" s="39"/>
      <c r="I40" s="39"/>
    </row>
    <row r="41" spans="1:9" x14ac:dyDescent="0.2">
      <c r="A41" s="39"/>
      <c r="B41" s="39"/>
      <c r="C41" s="39"/>
      <c r="D41" s="39"/>
      <c r="E41" s="39"/>
      <c r="F41" s="39"/>
      <c r="G41" s="39"/>
      <c r="H41" s="39"/>
      <c r="I41" s="39"/>
    </row>
    <row r="42" spans="1:9" x14ac:dyDescent="0.2">
      <c r="A42" s="39"/>
      <c r="B42" s="39"/>
      <c r="C42" s="39"/>
      <c r="D42" s="39"/>
      <c r="E42" s="39"/>
      <c r="F42" s="39"/>
      <c r="G42" s="39"/>
      <c r="H42" s="39"/>
      <c r="I42" s="39"/>
    </row>
    <row r="43" spans="1:9" x14ac:dyDescent="0.2">
      <c r="A43" s="39"/>
      <c r="B43" s="39"/>
      <c r="C43" s="39"/>
      <c r="D43" s="39"/>
      <c r="E43" s="39"/>
      <c r="F43" s="39"/>
      <c r="G43" s="39"/>
      <c r="H43" s="39"/>
      <c r="I43" s="39"/>
    </row>
    <row r="44" spans="1:9" x14ac:dyDescent="0.2">
      <c r="A44" s="39"/>
      <c r="B44" s="39"/>
      <c r="C44" s="39"/>
      <c r="D44" s="39"/>
      <c r="E44" s="39"/>
      <c r="F44" s="39"/>
      <c r="G44" s="39"/>
      <c r="H44" s="39"/>
      <c r="I44" s="39"/>
    </row>
    <row r="45" spans="1:9" x14ac:dyDescent="0.2">
      <c r="A45" s="39"/>
      <c r="B45" s="39"/>
      <c r="C45" s="39"/>
      <c r="D45" s="39"/>
      <c r="E45" s="39"/>
      <c r="F45" s="39"/>
      <c r="G45" s="39"/>
      <c r="H45" s="39"/>
      <c r="I45" s="39"/>
    </row>
    <row r="46" spans="1:9" x14ac:dyDescent="0.2">
      <c r="A46" s="39"/>
      <c r="B46" s="39"/>
      <c r="C46" s="39"/>
      <c r="D46" s="39"/>
      <c r="E46" s="39"/>
      <c r="F46" s="39"/>
      <c r="G46" s="39"/>
      <c r="H46" s="39"/>
      <c r="I46" s="39"/>
    </row>
    <row r="47" spans="1:9" x14ac:dyDescent="0.2">
      <c r="A47" s="39"/>
      <c r="B47" s="39"/>
      <c r="C47" s="39"/>
      <c r="D47" s="39"/>
      <c r="E47" s="39"/>
      <c r="F47" s="39"/>
      <c r="G47" s="39"/>
      <c r="H47" s="39"/>
      <c r="I47" s="39"/>
    </row>
    <row r="48" spans="1:9" x14ac:dyDescent="0.2">
      <c r="A48" s="39"/>
      <c r="B48" s="39"/>
      <c r="C48" s="39"/>
      <c r="D48" s="39"/>
      <c r="E48" s="39"/>
      <c r="F48" s="39"/>
      <c r="G48" s="39"/>
      <c r="H48" s="39"/>
      <c r="I48" s="39"/>
    </row>
    <row r="49" spans="1:9" x14ac:dyDescent="0.2">
      <c r="A49" s="39"/>
      <c r="B49" s="39"/>
      <c r="C49" s="39"/>
      <c r="D49" s="39"/>
      <c r="E49" s="39"/>
      <c r="F49" s="39"/>
      <c r="G49" s="39"/>
      <c r="H49" s="39"/>
      <c r="I49" s="39"/>
    </row>
    <row r="50" spans="1:9" x14ac:dyDescent="0.2">
      <c r="A50" s="39"/>
      <c r="B50" s="39"/>
      <c r="C50" s="39"/>
      <c r="D50" s="39"/>
      <c r="E50" s="39"/>
      <c r="F50" s="39"/>
      <c r="G50" s="39"/>
      <c r="H50" s="39"/>
      <c r="I50" s="39"/>
    </row>
    <row r="51" spans="1:9" x14ac:dyDescent="0.2">
      <c r="A51" s="39"/>
      <c r="B51" s="39"/>
      <c r="C51" s="39"/>
      <c r="D51" s="39"/>
      <c r="E51" s="39"/>
      <c r="F51" s="39"/>
      <c r="G51" s="39"/>
      <c r="H51" s="39"/>
      <c r="I51" s="39"/>
    </row>
    <row r="52" spans="1:9" x14ac:dyDescent="0.2">
      <c r="A52" s="39"/>
      <c r="B52" s="39"/>
      <c r="C52" s="39"/>
      <c r="D52" s="39"/>
      <c r="E52" s="39"/>
      <c r="F52" s="39"/>
      <c r="G52" s="39"/>
      <c r="H52" s="39"/>
      <c r="I52" s="39"/>
    </row>
    <row r="53" spans="1:9" x14ac:dyDescent="0.2">
      <c r="A53" s="39"/>
      <c r="B53" s="39"/>
      <c r="C53" s="39"/>
      <c r="D53" s="39"/>
      <c r="E53" s="39"/>
      <c r="F53" s="39"/>
      <c r="G53" s="39"/>
      <c r="H53" s="39"/>
      <c r="I53" s="39"/>
    </row>
    <row r="54" spans="1:9" x14ac:dyDescent="0.2">
      <c r="A54" s="39"/>
      <c r="B54" s="39"/>
      <c r="C54" s="39"/>
      <c r="D54" s="39"/>
      <c r="E54" s="39"/>
      <c r="F54" s="39"/>
      <c r="G54" s="39"/>
      <c r="H54" s="39"/>
      <c r="I54" s="39"/>
    </row>
    <row r="55" spans="1:9" x14ac:dyDescent="0.2">
      <c r="A55" s="27"/>
      <c r="B55" s="27"/>
      <c r="C55" s="27"/>
      <c r="D55" s="27"/>
      <c r="E55" s="27"/>
      <c r="F55" s="27"/>
      <c r="G55" s="27"/>
      <c r="H55" s="27"/>
      <c r="I55" s="27"/>
    </row>
  </sheetData>
  <mergeCells count="4">
    <mergeCell ref="A1:I1"/>
    <mergeCell ref="A2:I2"/>
    <mergeCell ref="A27:I27"/>
    <mergeCell ref="A28:I5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Institutional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Harish</cp:lastModifiedBy>
  <dcterms:created xsi:type="dcterms:W3CDTF">2026-03-26T18:40:58Z</dcterms:created>
  <dcterms:modified xsi:type="dcterms:W3CDTF">2026-03-26T20:52:14Z</dcterms:modified>
</cp:coreProperties>
</file>